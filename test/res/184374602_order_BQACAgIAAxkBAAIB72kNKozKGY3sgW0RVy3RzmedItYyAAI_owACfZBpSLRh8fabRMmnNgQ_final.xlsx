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8_{15E8E9A8-123D-430D-A164-F17B1AF1DE34}" xr6:coauthVersionLast="47" xr6:coauthVersionMax="47" xr10:uidLastSave="{00000000-0000-0000-0000-000000000000}"/>
  <bookViews>
    <workbookView xWindow="-108" yWindow="-108" windowWidth="23256" windowHeight="12456" tabRatio="500" xr2:uid="{B0877843-4D50-4F7B-908B-78219597B943}"/>
  </bookViews>
  <sheets>
    <sheet name="Лист1" sheetId="1" r:id="rId1"/>
    <sheet name="Лист2" sheetId="2" r:id="rId2"/>
    <sheet name="Лист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F119" i="1"/>
  <c r="F118" i="1"/>
  <c r="F117" i="1"/>
  <c r="F116" i="1"/>
  <c r="F115" i="1"/>
  <c r="F114" i="1"/>
  <c r="F113" i="1"/>
  <c r="F112" i="1"/>
  <c r="F111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</calcChain>
</file>

<file path=xl/sharedStrings.xml><?xml version="1.0" encoding="utf-8"?>
<sst xmlns="http://schemas.openxmlformats.org/spreadsheetml/2006/main" count="329" uniqueCount="226">
  <si>
    <t xml:space="preserve">МИНИАРМ ПРАЙС-ЛИСТ 2025 </t>
  </si>
  <si>
    <t>www.miniarm.com</t>
  </si>
  <si>
    <t>КОД</t>
  </si>
  <si>
    <t>НАИМЕНОВАНИЕ</t>
  </si>
  <si>
    <t>ПРИМЕЧАНИЕ</t>
  </si>
  <si>
    <t>цена</t>
  </si>
  <si>
    <t>заказ</t>
  </si>
  <si>
    <t>итого</t>
  </si>
  <si>
    <t>ИС-1/2, ИСУ-152  ведущие звездочки и очистители грязи</t>
  </si>
  <si>
    <t>Для  модели Тамия и Драгон</t>
  </si>
  <si>
    <t xml:space="preserve">T-64B Башня m1981,  включает фототравление    </t>
  </si>
  <si>
    <t>Для модели Трумпетер</t>
  </si>
  <si>
    <t xml:space="preserve">T-64БМ "Булат" Конверсионный набор включает фототравление   </t>
  </si>
  <si>
    <t>Для набора Трумпетер</t>
  </si>
  <si>
    <t>переиздан</t>
  </si>
  <si>
    <t xml:space="preserve">T-64B Башня с надбоем, включает фототравление   </t>
  </si>
  <si>
    <t xml:space="preserve">Для модели Трумпетер </t>
  </si>
  <si>
    <t xml:space="preserve">Т-34/76,Т-34/85, СУ-85 Ранние литые катки, спицованные с перфарацией грузошины </t>
  </si>
  <si>
    <t>Для модели Драгон, Звезда,Миниарт</t>
  </si>
  <si>
    <t xml:space="preserve">Т-50 Усиленные опорные катки (поздних серий ) </t>
  </si>
  <si>
    <t>Для модели Нобби Босс</t>
  </si>
  <si>
    <t>Т-34 Граненная башня литая в составную форму, ранняя</t>
  </si>
  <si>
    <t>Для модели Драгон,Звезда</t>
  </si>
  <si>
    <t xml:space="preserve">Т-50(легкий танк ВОВ), Башня с доп.бронированием (вкл. точенный ствол) плюс люк мехвода  </t>
  </si>
  <si>
    <t>Для модели Хобби Босс</t>
  </si>
  <si>
    <t>Т-30/Т-60-/Т-70 Набор опорных спицованных катков (12шт)</t>
  </si>
  <si>
    <t>Для модели МиниАрт ,ХоббиБосс</t>
  </si>
  <si>
    <t xml:space="preserve">T-72A(М1)1982г. Башня "Dolly Parton" включает фототравление </t>
  </si>
  <si>
    <t>Для набора Тамия, Трумпетер, Менг</t>
  </si>
  <si>
    <t>БРДМ-2 набор колес 4шт</t>
  </si>
  <si>
    <t>Для модели Драгон,Трумпетер</t>
  </si>
  <si>
    <t>БТР-80, БТР-80А  набор колес (поздние)</t>
  </si>
  <si>
    <t>Для модели Звезда, Трумпетер</t>
  </si>
  <si>
    <t>Набор колес ОИ-25  (Омскшина) для автомобиля Урал- 4320 (6шт плюс запаска)</t>
  </si>
  <si>
    <t>Для модели Звезда,Трумпетер, ИСМ</t>
  </si>
  <si>
    <t>ДШКа-М 12,7мм, крупнокалиберный пулемет со станком, плюс фототравление</t>
  </si>
  <si>
    <t>Для советской БТТ</t>
  </si>
  <si>
    <t>НСВТ 12,7мм крупнокалиберный пулемет со станком, плюс фототравление</t>
  </si>
  <si>
    <t xml:space="preserve">Корд 12,7мм крупнокалиберный пулемет </t>
  </si>
  <si>
    <t>для  Российской БТТ</t>
  </si>
  <si>
    <t>Ходовые огни</t>
  </si>
  <si>
    <t>Для Российской БТТ</t>
  </si>
  <si>
    <t>Осветитель ОУ-3Г</t>
  </si>
  <si>
    <t>Для  Советской и Российской БТТ</t>
  </si>
  <si>
    <t>БТР-82 Набор колес (8шт)</t>
  </si>
  <si>
    <t>Комплект ОПВТ, включает фототравления, для T-72/T-90</t>
  </si>
  <si>
    <t>Для модели Звезда, Трумпетер, Менг, Тамия</t>
  </si>
  <si>
    <t>Набор колес для ЗРКа 9К-33М "Оса"</t>
  </si>
  <si>
    <t>Набор колес О-47А"Наташка" для автомобиля Урал- 375,4320 (6шт плюс запаска)</t>
  </si>
  <si>
    <t>Т-72 Башня м1975, включает фототравление</t>
  </si>
  <si>
    <t>Для набора Тамия, Менг,Трумпетер</t>
  </si>
  <si>
    <t>Т-72,Т-90 Комплект надполочных баков и ящиков Зип, включает фототравление</t>
  </si>
  <si>
    <t>Для набора Звезда, Менг,Трумпетер,Тамия</t>
  </si>
  <si>
    <t>БТР-82A, конверсионный набор, включает фототравления и точенные стволы</t>
  </si>
  <si>
    <t xml:space="preserve">Комплект ведущих звезд  для T-72A/T-72B </t>
  </si>
  <si>
    <t>Набор колес Ви-3 для КраЗ (6шт плюс запаска)</t>
  </si>
  <si>
    <t>Для модели Таком</t>
  </si>
  <si>
    <t>Набор колес для ГаЗ-66 (4шт плюс запаска)</t>
  </si>
  <si>
    <t>БМП-2 комбашенка, прицел наводчика, осветители ОУ-3,ОУ-5 маска пушки, точенный ствол, ФТ</t>
  </si>
  <si>
    <t xml:space="preserve"> Для модели Трумпетер</t>
  </si>
  <si>
    <t>Набор колес для ЗиЛ-157 / БТР-152  (6шт плюс запаска) включает фототравление</t>
  </si>
  <si>
    <t>Набор спущенных колес для ЗиЛ-157 / БТР-152  (2шт) включает фототравление</t>
  </si>
  <si>
    <t>Набор выстрелов для пушки 2А46М для танка Т-64,Т-72,Т-80,Т-90 (вкл. декаль)</t>
  </si>
  <si>
    <t>Выстрел управляемой ракеты 9М-119 для пушки 2А46М танка Т-64,Т-72,Т-80,Т-90 (2 шт) (вкл. декаль)</t>
  </si>
  <si>
    <t>Набор спущенных колес для ГаЗ-66 (2шт)</t>
  </si>
  <si>
    <t xml:space="preserve">Набор колес к автомобилю ГаЗ Тигр-М  (с просадкой) 4шт + запаска </t>
  </si>
  <si>
    <t>Для модели Менг, Ксакт ,Звезда</t>
  </si>
  <si>
    <t xml:space="preserve">Турель для Тигр/Тигр-М (Печенег, Гранатомет АГС-17 с кронштейнами крепления) + фототравление </t>
  </si>
  <si>
    <t xml:space="preserve">Спущенное колесо OИ-25  Урал-4320/ 375 (1шт)  </t>
  </si>
  <si>
    <t xml:space="preserve">Набор колес для МаЗ-537 с просадкой (8 шт)  </t>
  </si>
  <si>
    <t>Корректирующий набор Т-54Б модель 1959 г., включает фототравления</t>
  </si>
  <si>
    <t>Конверсионный набор Т-55А м1981г., включает фототравления и точенный ствол</t>
  </si>
  <si>
    <t>Конверсионный набор Т-55 м1964г., включает фототравления и точенный ствол (Пражская весна)</t>
  </si>
  <si>
    <t>Набор колес ОИ-25  (Омскшина) с бронеколпаками для автомобиля Урал- 4320 (6шт плюс запаска)</t>
  </si>
  <si>
    <t>Набор колес ВИ-203 (поздние) с просадкой (8 шт), для 9К720 Искандер, РЗСО Смерч-М</t>
  </si>
  <si>
    <t>Для модели Трумпетер, Менг</t>
  </si>
  <si>
    <t xml:space="preserve">Набор колес ВИ-203 с просадкой (8 шт) для МаЗ-543 </t>
  </si>
  <si>
    <t>Для модели Трумпетер,Менг,Драгон</t>
  </si>
  <si>
    <t>Набор дымовых шашек БДШа-5, включает фототравление</t>
  </si>
  <si>
    <t>Набор колес И-159 для РЗСО "Ураган" (8шт)</t>
  </si>
  <si>
    <t>Набор штатной укладки для Т-55/Т-62 (7шт)</t>
  </si>
  <si>
    <t>Для модели Звезда,Таком, Миниарт</t>
  </si>
  <si>
    <t>Танковые топливные бочки 150л. (2шт) включает фототравления</t>
  </si>
  <si>
    <t>"Корд" крупнокалиберный пулемет на установке 6У16, для ГаЗ Тигр-М (СПН)</t>
  </si>
  <si>
    <t>Для моделей Менг, Ксакт, Звезда</t>
  </si>
  <si>
    <t>T-34/76 Стальной каток с внутренней амортизацией (ранний)</t>
  </si>
  <si>
    <t>Для модели Драгон, Звезда</t>
  </si>
  <si>
    <t>T-34/76 Стальной каток с внутренней амортизацией (поздний)</t>
  </si>
  <si>
    <t xml:space="preserve">Т-34/76 Литые спицованные катки с узкой перфорацией грузошины </t>
  </si>
  <si>
    <t xml:space="preserve">T-34/85 Литые спицованные катки (поздний) </t>
  </si>
  <si>
    <t xml:space="preserve">Трофейная T-34/76 m1940, конверсия включает фт </t>
  </si>
  <si>
    <t>Для модели Драгон</t>
  </si>
  <si>
    <t>Т-34/76 Штампованные катки с узкой перфорацией грузошины</t>
  </si>
  <si>
    <t>T-34/СУ Ленивцы  (поздние)</t>
  </si>
  <si>
    <t>T-34/СУ Бронировка выхлопов (семь вариантов)</t>
  </si>
  <si>
    <t>T-34 Ленивцы без колец усиления</t>
  </si>
  <si>
    <t>T-34 Ленивцы с крышкой ступица на пять болтов</t>
  </si>
  <si>
    <t>Т-34 Буксирные крюки и буксирные устройства, (восемь вариантов)</t>
  </si>
  <si>
    <t>Т-34 Люк мехвода (два варианта)</t>
  </si>
  <si>
    <t xml:space="preserve">Передатчик помех  РП-377ВМ1 + фототравление  </t>
  </si>
  <si>
    <t>Для модели БТР-82, Тайфун-К,  ГаЗТигр-М</t>
  </si>
  <si>
    <t xml:space="preserve">Танковые топливные бочки 200л. для T-55AM/T-62/T-64/T-72/T-80/T-90  (2шт)  </t>
  </si>
  <si>
    <t>СУ-100,СУ-85/СУ-85М,Т-34 Штампованные катки (Сормовские)</t>
  </si>
  <si>
    <t>СУ-100,СУ-85/СУ-85М,Т-34 Ленивцы + кривошипы (поздние)</t>
  </si>
  <si>
    <t>Т-80 Ведущие звезды</t>
  </si>
  <si>
    <t>Для моделт РПГ, Ксакт,Трумпетер</t>
  </si>
  <si>
    <t>Т-80УК Конверсионный набор</t>
  </si>
  <si>
    <t>Для моделт РПГ, Ксакт</t>
  </si>
  <si>
    <t>Фильтр системы очистки воздуха</t>
  </si>
  <si>
    <t>Для ГаЗ Тигр-М, ЗРПК Панцирь-С1</t>
  </si>
  <si>
    <t>Конверсия  "Бережок" (башня + точенный ствол) для БМП-2 и БМП Бумеранг</t>
  </si>
  <si>
    <t>Для модели Таком, Звезда</t>
  </si>
  <si>
    <t>Ком. башенки для Т-34 (два варианта) литая, сварная</t>
  </si>
  <si>
    <t xml:space="preserve">Ведущие колеса Т-34  с фигурным бандажем  ( раннего типа)               </t>
  </si>
  <si>
    <t xml:space="preserve">Ведущие колеса Т-34 "Солнышко"                                           </t>
  </si>
  <si>
    <t xml:space="preserve">Т-80УЕ-1 Конверсионный набор                                               </t>
  </si>
  <si>
    <t>Для моделт РПГ, Ксакт, Трумпетер</t>
  </si>
  <si>
    <t xml:space="preserve">Т-34 Бронировка курсовых пулеметов в сборе раниий  (4 варианта)   </t>
  </si>
  <si>
    <t xml:space="preserve">Т-34 Бронировка курсовых пулеметов в сборе поздний (4 варианта)  </t>
  </si>
  <si>
    <t xml:space="preserve">Ведущие колеса Т-34 (безроликовое)                 </t>
  </si>
  <si>
    <t xml:space="preserve">Ведущие колеса Т-34 завод №112 Красное Сормово  (позднего типа)            </t>
  </si>
  <si>
    <t>Для модели Т-34</t>
  </si>
  <si>
    <t>Набор колес с просадкой для ЗРПК Панцирь-С1</t>
  </si>
  <si>
    <t>Для модели Менг</t>
  </si>
  <si>
    <t xml:space="preserve">Набор колес с просадкой "Кама-1260" для автомобиля Камаз-5350 (Мустанг)  (6шт + запаска)   </t>
  </si>
  <si>
    <t xml:space="preserve">Для модели Звезда </t>
  </si>
  <si>
    <t>Т-34/76 Корректирующий набор деталей для башни</t>
  </si>
  <si>
    <t>Для модели Т-34/76</t>
  </si>
  <si>
    <t>Короб воздушного фильтра для KamAZ-5350</t>
  </si>
  <si>
    <t>КамАЗ Тайфун-К4386 (ВДВ) набор колес под нагрузкой  (4шт)</t>
  </si>
  <si>
    <t>Для модели Менг,РПГ, Звезда</t>
  </si>
  <si>
    <t>КамАЗ-63968 Тайфун-К набор колес под нагрузкой  (6шт)</t>
  </si>
  <si>
    <t>Для модели Звезда,Таком</t>
  </si>
  <si>
    <t xml:space="preserve">Передатчик помех  РП-377ВМ1Л + фототравление  </t>
  </si>
  <si>
    <t>Для модели БТР-82, Тайфун-К, ГаЗ Тигр-М</t>
  </si>
  <si>
    <t>Набор шанцевого инструмента для советских легких танков</t>
  </si>
  <si>
    <t>Для  моделей советской БТТ</t>
  </si>
  <si>
    <t>Т-34/76 Опорный каток с рисками и перфорацией обр. 1941-44</t>
  </si>
  <si>
    <t>Т-34/76 Опорный каток с перфорацией обр. 1942-44</t>
  </si>
  <si>
    <t xml:space="preserve">Катки PzKpfw V Pantera (гибрид) для установки на Т-34  </t>
  </si>
  <si>
    <t>Т-34 Ведущие колеса, завод №112 Красное Сормово (раннего типа)</t>
  </si>
  <si>
    <t>Т-34 Ведущие колеса с простым бандажом ( позднего типа)</t>
  </si>
  <si>
    <t>Урал-63095 Тайфун-У 6Х6  Набор колес под нагрузкой  (6шт)</t>
  </si>
  <si>
    <t>Для модели РПГ</t>
  </si>
  <si>
    <t xml:space="preserve">КВ-1,КВ-2 Опорный каток раннего типа (Обр. 39-40гг) </t>
  </si>
  <si>
    <t xml:space="preserve">КВ-1,КВ-2 Опорный каток раннего типа (Обр. 40г) </t>
  </si>
  <si>
    <t xml:space="preserve">КВ-1, КВ-1Э, КВ-2, КВ-6, Т-150 Опорный каток  (Обр. 41-42гг) </t>
  </si>
  <si>
    <t xml:space="preserve">КВ-1Э, КВ-1 Опорный каток усиленный без перфорации диска (Обр. 41г) </t>
  </si>
  <si>
    <t>КВ-1, КВ-1Э, КВ-6 Опорный каток усиленный с ребрами жесткости (Обр. 41г)</t>
  </si>
  <si>
    <t>КВ-1/КВ-2 Опорный каток усиленный ЧТЗ (Обр. 41г)</t>
  </si>
  <si>
    <t>КВ-1/7/8/9 Опорные катки  (Обр.41-42г)</t>
  </si>
  <si>
    <t>КВ Опорные катки с граненной ступицей (Обр.42г)</t>
  </si>
  <si>
    <t>КВ-1/8/9/Т Опорные катки с круглой ступицей (Обр.42г)</t>
  </si>
  <si>
    <t>КВ-1/1С/8С Опорные катки (Обр.42/43г)</t>
  </si>
  <si>
    <t>КВ-1С/8С Узкие опорные катки ранние (Обр.43г)</t>
  </si>
  <si>
    <t>КВ-1С/85/Т/14 Узкие усиленные опорные катки (Обр.43г)</t>
  </si>
  <si>
    <t>ЗРК 9K332 "Тор" М2 Комплект опорных катков 28шт + ленивцы</t>
  </si>
  <si>
    <t>Для модели Звезда</t>
  </si>
  <si>
    <t>Уаз-3909 "Буханка" Набор колес под нагрузкой (+ запаска)</t>
  </si>
  <si>
    <t xml:space="preserve">Конверсия КамАЗ Тайфун-4386 с модулем 32В01 (ВДВ) </t>
  </si>
  <si>
    <t>Т-14 Армата, опорные катки  (позднего типа)</t>
  </si>
  <si>
    <t>T-62 комплект опорных катков, включает 12шт. со стандартной и 8шт. с усиленной ступицами</t>
  </si>
  <si>
    <t>Для модели Звезда,Трумпетер</t>
  </si>
  <si>
    <t>КВ-1,КВ-2 Ведущие звезды  ( раннего типа) + бронировка бортовой передачи</t>
  </si>
  <si>
    <t>КВ-1С Ведущие звезды + бронировка бортовой передачи</t>
  </si>
  <si>
    <t xml:space="preserve">КВ-1 Башня раннего типа ,два варианта установки маски пушки </t>
  </si>
  <si>
    <t>Т-70 комплект опорных катков + запаска</t>
  </si>
  <si>
    <t>Для модели Звезда, Миниарт</t>
  </si>
  <si>
    <t>Шины под нагрузкой для КАМАЗ-65115 Самосвал (11шт)</t>
  </si>
  <si>
    <t>КВ-1С Ведущие звезды + бронировка бортовой передачи (позднего типа)</t>
  </si>
  <si>
    <t>Квадроцикл АМ-1</t>
  </si>
  <si>
    <t>БТТ</t>
  </si>
  <si>
    <t>Квадроцикл АМ-1 + водитель, рюкзак и РПГ  (ВДВ)</t>
  </si>
  <si>
    <t>T-72Б2, T-72Б3M, T-90MC, BMПT, новые траки с косыми грунтозацепами плюс ведущие звезды</t>
  </si>
  <si>
    <t>Для Звезда, Менг,Трумпетер,Тигер Моделс</t>
  </si>
  <si>
    <t>T-90M, Т-14 Армата, новые траки с прямыми грунтозацепами плюс ведущие звезды+ запаски</t>
  </si>
  <si>
    <t>Для модели Тигер Моделс,Менг,Трумпетер, Звезда</t>
  </si>
  <si>
    <t>Т-90М ( обр. 2023 г)  Конверсионный набор + Корректирующий набор</t>
  </si>
  <si>
    <t>Для модели Тигер Моделс</t>
  </si>
  <si>
    <t xml:space="preserve">Т-80БВМ ( обр. 2023 г) Конверсионный набор </t>
  </si>
  <si>
    <t>Бортовые блоки ДЗ в металлическом корпусе обр.2023г (36 шт)</t>
  </si>
  <si>
    <t>Для моделей Т-90М, Т-72Б3М, Т-80БВМ</t>
  </si>
  <si>
    <t>Башенные блоки ДЗ в мягком корпусе (24шт) + укладка сетки</t>
  </si>
  <si>
    <t xml:space="preserve">Для модели Т-90М </t>
  </si>
  <si>
    <t xml:space="preserve">Т-72Б3М ( обр. 2022 г) Конверсионный набор </t>
  </si>
  <si>
    <t xml:space="preserve">Комплект ведущих звезд для Т-90М, Т-72Б2, T-72Б3М,  БМПТ, T-90MC  </t>
  </si>
  <si>
    <t>Для Звезда, Менг, Трумпетер, Тигер Моделс</t>
  </si>
  <si>
    <t>Су-76 Комплект опорных катков (14шт+ запаска)</t>
  </si>
  <si>
    <t>Для Звзеды</t>
  </si>
  <si>
    <t>T-55А комплект опорных катков, включает 16шт со стандартной и 4шт с усиленной ступицами</t>
  </si>
  <si>
    <t>Антидроновая глушилка «Волнорез» (4шт)</t>
  </si>
  <si>
    <t>Инфракрасный прожектор  Л-2Г для T-10M,T-55A,T-62 (4шт)</t>
  </si>
  <si>
    <t>Инфракрасный прожектор  Л-4Г для T-55,T-55AM,T-62M (4шт)</t>
  </si>
  <si>
    <t>Блоки ДЗ «Контакт-1» (тип А) 100шт</t>
  </si>
  <si>
    <t>Блоки ДЗ «Контакт-1» (тип Б)   50шт</t>
  </si>
  <si>
    <r>
      <rPr>
        <sz val="11"/>
        <rFont val="Arial"/>
        <family val="2"/>
        <charset val="1"/>
      </rPr>
      <t xml:space="preserve">УаЗ-469 </t>
    </r>
    <r>
      <rPr>
        <sz val="11"/>
        <rFont val="Arial"/>
        <family val="2"/>
        <charset val="204"/>
      </rPr>
      <t>Набор колес под нагрузкой (+ запаска)</t>
    </r>
  </si>
  <si>
    <t>БМП-3 Комплект опорных катков</t>
  </si>
  <si>
    <t>Т-72Б3М Комплект кормовой бронировки</t>
  </si>
  <si>
    <t>Для модели Менг,Трумпетер</t>
  </si>
  <si>
    <t>Т-90М (обр 2023г) Комплект кормовой бронировки</t>
  </si>
  <si>
    <r>
      <rPr>
        <sz val="11"/>
        <color indexed="55"/>
        <rFont val="Arial"/>
        <family val="2"/>
        <charset val="1"/>
      </rPr>
      <t xml:space="preserve">БМП-3 Конверсионный набор </t>
    </r>
    <r>
      <rPr>
        <sz val="11"/>
        <color indexed="55"/>
        <rFont val="Arial"/>
        <family val="2"/>
        <charset val="204"/>
      </rPr>
      <t xml:space="preserve"> (версия 2023г)</t>
    </r>
  </si>
  <si>
    <t>Инфракрасный прожектор  Л-2ГМ для T-72 (4шт)</t>
  </si>
  <si>
    <t>Инфракрасный прожектор  Л-4ГМ для T-72Б,Т-80,Т-64 (4шт)</t>
  </si>
  <si>
    <t>Набор колес под нагруэкой для ГаЗ-66 (4шт плюс запаска)</t>
  </si>
  <si>
    <t>Конверсионный набор, машина техподдержки МТП-А2 на базе КамаЗ</t>
  </si>
  <si>
    <t>АК-12 (ранний )  4шт</t>
  </si>
  <si>
    <t>Армия РФ</t>
  </si>
  <si>
    <t>АК-12 (поздний) ) 4шт</t>
  </si>
  <si>
    <t>АК-12М 4шт</t>
  </si>
  <si>
    <t>АК-12/АК-12М (ССО) 4шт</t>
  </si>
  <si>
    <t>Пулемет ПКМ 7,62  (в обвесах) 3шт</t>
  </si>
  <si>
    <t>Т-34/76 Башня «Формочка» поздняя + точенный ствол</t>
  </si>
  <si>
    <t>Для модели Звезда,Драгон</t>
  </si>
  <si>
    <r>
      <rPr>
        <sz val="11"/>
        <color indexed="55"/>
        <rFont val="Arial"/>
        <family val="2"/>
        <charset val="1"/>
      </rPr>
      <t xml:space="preserve">БМПТ-2 «Терминатор» (об.2024г) конверсионный набор </t>
    </r>
    <r>
      <rPr>
        <sz val="11"/>
        <color indexed="55"/>
        <rFont val="Arial"/>
        <family val="2"/>
        <charset val="204"/>
      </rPr>
      <t>+ точенные стволы 2шт</t>
    </r>
  </si>
  <si>
    <t>Противокумулятивная сетка- экран 4шт (7,1мХ9,5мм) Т-72Б3М,Т-90М, Т-80БВМ и т,д,</t>
  </si>
  <si>
    <t>82мм Самоходный миномет 2С41 «Дрок»  Конверсионный набор (версия 2024г)</t>
  </si>
  <si>
    <t>ДЗ «Реликт» лобовая плита для Т-80БВМ,Т-72Б3М, Т-90МC, БМПТ</t>
  </si>
  <si>
    <t>Осветитель ОУ-3Г  для БМП, БТР</t>
  </si>
  <si>
    <t>Навесной ящик ЗиП для танка Т-90М, Т-72Б3М</t>
  </si>
  <si>
    <t>Обновленная передняя радиаторная часть + оптика для КамАЗ Тайфун -4386</t>
  </si>
  <si>
    <t>Для модели Звезда, РПГ</t>
  </si>
  <si>
    <t>Новые броки ДЗ «Контакт» 40шт</t>
  </si>
  <si>
    <r>
      <rPr>
        <sz val="11"/>
        <rFont val="Arial"/>
        <family val="2"/>
        <charset val="1"/>
      </rPr>
      <t xml:space="preserve">Для модели Т-72Б3М  </t>
    </r>
    <r>
      <rPr>
        <sz val="11"/>
        <rFont val="Arial"/>
        <family val="2"/>
        <charset val="204"/>
      </rPr>
      <t>Менг,Трумпетер</t>
    </r>
  </si>
  <si>
    <t>new</t>
  </si>
  <si>
    <t>Комплекс Активной Защиты «Арена-М»</t>
  </si>
  <si>
    <t>Конверсионный набор  Т-72Б3МА с КАЗ Арена-М (версия 2025г)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</si>
</sst>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₽-419];[Red]\-#,##0.00\ [$₽-419]"/>
    <numFmt numFmtId="165" formatCode="#,##0.00&quot; ₽&quot;"/>
    <numFmt numFmtId="166" formatCode="#,##0.00\ [$₽-419];\-#,##0.00\ [$₽-419]"/>
    <numFmt numFmtId="167" formatCode="_-* #,##0.00_р_._-;\-* #,##0.00_р_._-;_-* \-??_р_._-;_-@_-"/>
    <numFmt numFmtId="168" formatCode="#,##0.00[$р.-419]"/>
  </numFmts>
  <fonts count="15" x14ac:knownFonts="1">
    <font>
      <sz val="11"/>
      <color rgb="FF000000"/>
      <name val="Calibri"/>
      <family val="2"/>
      <charset val="204"/>
    </font>
    <font>
      <sz val="11"/>
      <name val="Arial"/>
      <family val="2"/>
      <charset val="1"/>
    </font>
    <font>
      <sz val="11"/>
      <name val="Arial"/>
      <family val="2"/>
      <charset val="204"/>
    </font>
    <font>
      <sz val="11"/>
      <color indexed="55"/>
      <name val="Arial"/>
      <family val="2"/>
      <charset val="1"/>
    </font>
    <font>
      <sz val="10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1"/>
      <name val="Arial"/>
      <family val="2"/>
      <charset val="1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C9211E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E6A39"/>
        <bgColor rgb="FF008080"/>
      </patternFill>
    </fill>
    <fill>
      <patternFill patternType="solid">
        <fgColor rgb="FFFFF5CE"/>
        <bgColor rgb="FFFFFFFF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7" fontId="7" fillId="0" borderId="0" applyBorder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8" fillId="2" borderId="2" xfId="0" applyFont="1" applyFill="1" applyBorder="1"/>
    <xf numFmtId="164" fontId="10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65" fontId="8" fillId="2" borderId="3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left"/>
    </xf>
    <xf numFmtId="0" fontId="8" fillId="2" borderId="7" xfId="0" applyFont="1" applyFill="1" applyBorder="1"/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8" fillId="2" borderId="8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164" fontId="11" fillId="0" borderId="9" xfId="0" applyNumberFormat="1" applyFont="1" applyBorder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0" xfId="0" applyFont="1" applyFill="1" applyBorder="1" applyAlignment="1">
      <alignment horizontal="left"/>
    </xf>
    <xf numFmtId="165" fontId="1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8" fontId="12" fillId="3" borderId="10" xfId="1" applyNumberFormat="1" applyFont="1" applyFill="1" applyBorder="1" applyAlignment="1" applyProtection="1">
      <alignment horizontal="center"/>
    </xf>
    <xf numFmtId="165" fontId="1" fillId="3" borderId="1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4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164" fontId="1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4" fillId="0" borderId="11" xfId="0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164" fontId="1" fillId="0" borderId="11" xfId="1" applyNumberFormat="1" applyFont="1" applyBorder="1" applyAlignment="1" applyProtection="1">
      <alignment horizontal="center"/>
    </xf>
    <xf numFmtId="164" fontId="1" fillId="0" borderId="10" xfId="1" applyNumberFormat="1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164" fontId="1" fillId="0" borderId="1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left"/>
    </xf>
    <xf numFmtId="0" fontId="2" fillId="0" borderId="11" xfId="0" applyFont="1" applyBorder="1"/>
    <xf numFmtId="0" fontId="2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164" fontId="2" fillId="0" borderId="10" xfId="1" applyNumberFormat="1" applyFont="1" applyBorder="1" applyAlignment="1" applyProtection="1">
      <alignment horizontal="center" vertical="center"/>
    </xf>
    <xf numFmtId="0" fontId="2" fillId="0" borderId="10" xfId="0" applyFont="1" applyBorder="1" applyAlignment="1">
      <alignment vertical="center" wrapText="1"/>
    </xf>
    <xf numFmtId="164" fontId="2" fillId="0" borderId="11" xfId="1" applyNumberFormat="1" applyFont="1" applyBorder="1" applyAlignment="1" applyProtection="1">
      <alignment horizontal="center"/>
    </xf>
    <xf numFmtId="0" fontId="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165" fontId="1" fillId="0" borderId="11" xfId="0" applyNumberFormat="1" applyFont="1" applyBorder="1" applyAlignment="1">
      <alignment horizontal="center"/>
    </xf>
    <xf numFmtId="0" fontId="13" fillId="0" borderId="0" xfId="0" applyFont="1"/>
    <xf numFmtId="0" fontId="6" fillId="0" borderId="11" xfId="0" applyFont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11" xfId="0" applyFont="1" applyFill="1" applyBorder="1"/>
    <xf numFmtId="0" fontId="1" fillId="3" borderId="11" xfId="0" applyFont="1" applyFill="1" applyBorder="1"/>
    <xf numFmtId="164" fontId="13" fillId="3" borderId="11" xfId="0" applyNumberFormat="1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165" fontId="13" fillId="3" borderId="1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6A3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5C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s:worksheet xmlns:ns1="http://schemas.openxmlformats.org/markup-compatibility/2006" xmlns:ns2="http://schemas.microsoft.com/office/spreadsheetml/2014/revision" xmlns:ns3="http://schemas.microsoft.com/office/spreadsheetml/2009/9/ac" xmlns:s="http://schemas.openxmlformats.org/spreadsheetml/2006/main" ns1:Ignorable="x14ac xr xr2 xr3" ns2:uid="{C1B3204B-BEAD-475F-9FAC-4BD5046B11F7}">
  <s:dimension ref="A1:F180"/>
  <s:sheetViews>
    <s:sheetView tabSelected="1" zoomScaleNormal="100" workbookViewId="0">
      <s:selection activeCell="E141" sqref="E141"/>
    </s:sheetView>
  </s:sheetViews>
  <s:sheetFormatPr defaultColWidth="9.44140625" defaultRowHeight="14.4" ns3:dyDescent="0.3"/>
  <s:cols>
    <s:col min="1" max="1" width="8.77734375" style="1" customWidth="1"/>
    <s:col min="2" max="2" width="94.44140625" customWidth="1"/>
    <s:col min="3" max="3" width="47.77734375" customWidth="1"/>
    <s:col min="4" max="4" width="10.88671875" style="2" customWidth="1"/>
    <s:col min="5" max="5" width="11.5546875" style="1" customWidth="1"/>
    <s:col min="6" max="6" width="10.5546875" style="3" customWidth="1"/>
  </s:cols>
  <s:sheetData>
    <s:row r="1" spans="1:6" ht="15.6" ns3:dyDescent="0.3">
      <s:c r="A1" s="4"/>
      <s:c r="B1" s="5" t="s">
        <s:v>0</s:v>
      </s:c>
      <s:c r="C1" s="6"/>
      <s:c r="D1" s="7"/>
      <s:c r="E1" s="8"/>
      <s:c r="F1" s="9"/>
    </s:row>
    <s:row r="2" spans="1:6" ht="15.6" ns3:dyDescent="0.3">
      <s:c r="A2" s="10"/>
      <s:c r="B2" s="11" t="s">
        <s:v>1</s:v>
      </s:c>
      <s:c r="C2" s="12"/>
      <s:c r="D2" s="13"/>
      <s:c r="E2" s="14"/>
      <s:c r="F2" s="15"/>
    </s:row>
    <s:row r="3" spans="1:6" ns3:dyDescent="0.3">
      <s:c r="A3" s="16"/>
      <s:c r="B3" s="17"/>
      <s:c r="C3" s="18"/>
      <s:c r="D3" s="19"/>
      <s:c r="E3" s="20"/>
      <s:c r="F3" s="21"/>
    </s:row>
    <s:row r="4" spans="1:6" ns3:dyDescent="0.3">
      <s:c r="A4" s="22" t="s">
        <s:v>2</s:v>
      </s:c>
      <s:c r="B4" s="23" t="s">
        <s:v>3</s:v>
      </s:c>
      <s:c r="C4" s="23" t="s">
        <s:v>4</s:v>
      </s:c>
      <s:c r="D4" s="24" t="s">
        <s:v>5</s:v>
      </s:c>
      <s:c r="E4" s="22" t="s">
        <s:v>6</s:v>
      </s:c>
      <s:c r="F4" s="25" t="s">
        <s:v>7</s:v>
      </s:c>
    </s:row>
    <s:row r="5" spans="1:6" ns3:dyDescent="0.3">
      <s:c r="A5" s="26">
        <s:v>35003</s:v>
      </s:c>
      <s:c r="B5" s="27" t="s">
        <s:v>8</s:v>
      </s:c>
      <s:c r="C5" s="27" t="s">
        <s:v>9</s:v>
      </s:c>
      <s:c r="D5" s="28">
        <s:v>390</s:v>
      </s:c>
      <s:c r="E5" s="26"/>
      <s:c r="F5" s="29">
        <s:f>D5*E5</s:f>
        <s:v>0</s:v>
      </s:c>
    </s:row>
    <s:row r="6" spans="1:6" ns3:dyDescent="0.3">
      <s:c r="A6" s="30">
        <s:v>35008</s:v>
      </s:c>
      <s:c r="B6" s="31" t="s">
        <s:v>10</s:v>
      </s:c>
      <s:c r="C6" s="31" t="s">
        <s:v>11</s:v>
      </s:c>
      <s:c r="D6" s="32">
        <s:v>1300</s:v>
      </s:c>
      <s:c r="E6" s="26"/>
      <s:c r="F6" s="29">
        <s:f>D6*E6</s:f>
        <s:v>0</s:v>
      </s:c>
    </s:row>
    <s:row r="7" spans="1:6" ns3:dyDescent="0.3">
      <s:c r="A7" s="33">
        <s:v>35011</s:v>
      </s:c>
      <s:c r="B7" s="34" t="s">
        <s:v>12</s:v>
      </s:c>
      <s:c r="C7" s="35" t="s">
        <s:v>13</s:v>
      </s:c>
      <s:c r="D7" s="36">
        <s:v>1590</s:v>
      </s:c>
      <s:c r="E7" s="37" t="s">
        <s:v>14</s:v>
      </s:c>
      <s:c r="F7" s="38">
        <s:v>0</s:v>
      </s:c>
    </s:row>
    <s:row r="8" spans="1:6" ns3:dyDescent="0.3">
      <s:c r="A8" s="30">
        <s:v>35012</s:v>
      </s:c>
      <s:c r="B8" s="31" t="s">
        <s:v>15</s:v>
      </s:c>
      <s:c r="C8" s="31" t="s">
        <s:v>16</s:v>
      </s:c>
      <s:c r="D8" s="32">
        <s:v>1300</s:v>
      </s:c>
      <s:c r="E8" s="26"/>
      <s:c r="F8" s="29">
        <s:f t="shared" ref="F8:F39" si="0">D8*E8</s:f>
        <s:v>0</s:v>
      </s:c>
    </s:row>
    <s:row r="9" spans="1:6" ns3:dyDescent="0.3">
      <s:c r="A9" s="30">
        <s:v>35014</s:v>
      </s:c>
      <s:c r="B9" s="31" t="s">
        <s:v>17</s:v>
      </s:c>
      <s:c r="C9" s="31" t="s">
        <s:v>18</s:v>
      </s:c>
      <s:c r="D9" s="32">
        <s:v>760</s:v>
      </s:c>
      <s:c r="E9" s="26"/>
      <s:c r="F9" s="29">
        <s:f t="shared" si="0"/>
        <s:v>0</s:v>
      </s:c>
    </s:row>
    <s:row r="10" spans="1:6" ns3:dyDescent="0.3">
      <s:c r="A10" s="30">
        <s:v>35015</s:v>
      </s:c>
      <s:c r="B10" s="31" t="s">
        <s:v>19</s:v>
      </s:c>
      <s:c r="C10" s="31" t="s">
        <s:v>20</s:v>
      </s:c>
      <s:c r="D10" s="32">
        <s:v>590</s:v>
      </s:c>
      <s:c r="E10" s="26"/>
      <s:c r="F10" s="29">
        <s:f t="shared" si="0"/>
        <s:v>0</s:v>
      </s:c>
    </s:row>
    <s:row r="11" spans="1:6" ns3:dyDescent="0.3">
      <s:c r="A11" s="30">
        <s:v>35022</s:v>
      </s:c>
      <s:c r="B11" s="31" t="s">
        <s:v>21</s:v>
      </s:c>
      <s:c r="C11" s="31" t="s">
        <s:v>22</s:v>
      </s:c>
      <s:c r="D11" s="32">
        <s:v>990</s:v>
      </s:c>
      <s:c r="E11" s="26"/>
      <s:c r="F11" s="29">
        <s:f t="shared" si="0"/>
        <s:v>0</s:v>
      </s:c>
    </s:row>
    <s:row r="12" spans="1:6" ns3:dyDescent="0.3">
      <s:c r="A12" s="30">
        <s:v>35031</s:v>
      </s:c>
      <s:c r="B12" s="31" t="s">
        <s:v>23</s:v>
      </s:c>
      <s:c r="C12" s="31" t="s">
        <s:v>24</s:v>
      </s:c>
      <s:c r="D12" s="32">
        <s:v>990</s:v>
      </s:c>
      <s:c r="E12" s="26"/>
      <s:c r="F12" s="29">
        <s:f t="shared" si="0"/>
        <s:v>0</s:v>
      </s:c>
    </s:row>
    <s:row r="13" spans="1:6" ns3:dyDescent="0.3">
      <s:c r="A13" s="30">
        <s:v>35034</s:v>
      </s:c>
      <s:c r="B13" s="31" t="s">
        <s:v>25</s:v>
      </s:c>
      <s:c r="C13" s="31" t="s">
        <s:v>26</s:v>
      </s:c>
      <s:c r="D13" s="32">
        <s:v>390</s:v>
      </s:c>
      <s:c r="E13" s="26"/>
      <s:c r="F13" s="29">
        <s:f t="shared" si="0"/>
        <s:v>0</s:v>
      </s:c>
    </s:row>
    <s:row r="14" spans="1:6" ns3:dyDescent="0.3">
      <s:c r="A14" s="30">
        <s:v>35035</s:v>
      </s:c>
      <s:c r="B14" s="31" t="s">
        <s:v>27</s:v>
      </s:c>
      <s:c r="C14" s="31" t="s">
        <s:v>28</s:v>
      </s:c>
      <s:c r="D14" s="32">
        <s:v>1390</s:v>
      </s:c>
      <s:c r="E14" s="26"/>
      <s:c r="F14" s="29">
        <s:f t="shared" si="0"/>
        <s:v>0</s:v>
      </s:c>
    </s:row>
    <s:row r="15" spans="1:6" ns3:dyDescent="0.3">
      <s:c r="A15" s="30">
        <s:v>35040</s:v>
      </s:c>
      <s:c r="B15" s="31" t="s">
        <s:v>29</s:v>
      </s:c>
      <s:c r="C15" s="31" t="s">
        <s:v>30</s:v>
      </s:c>
      <s:c r="D15" s="32">
        <s:v>670</s:v>
      </s:c>
      <s:c r="E15" s="26"/>
      <s:c r="F15" s="29">
        <s:f t="shared" si="0"/>
        <s:v>0</s:v>
      </s:c>
    </s:row>
    <s:row r="16" spans="1:6" ns3:dyDescent="0.3">
      <s:c r="A16" s="30">
        <s:v>35042</s:v>
      </s:c>
      <s:c r="B16" s="31" t="s">
        <s:v>31</s:v>
      </s:c>
      <s:c r="C16" s="31" t="s">
        <s:v>32</s:v>
      </s:c>
      <s:c r="D16" s="32">
        <s:v>1100</s:v>
      </s:c>
      <s:c r="E16" s="26"/>
      <s:c r="F16" s="29">
        <s:f t="shared" si="0"/>
        <s:v>0</s:v>
      </s:c>
    </s:row>
    <s:row r="17" spans="1:6" ns3:dyDescent="0.3">
      <s:c r="A17" s="30">
        <s:v>35049</s:v>
      </s:c>
      <s:c r="B17" s="31" t="s">
        <s:v>33</s:v>
      </s:c>
      <s:c r="C17" s="31" t="s">
        <s:v>34</s:v>
      </s:c>
      <s:c r="D17" s="32">
        <s:v>1100</s:v>
      </s:c>
      <s:c r="E17" s="26"/>
      <s:c r="F17" s="29">
        <s:f t="shared" si="0"/>
        <s:v>0</s:v>
      </s:c>
    </s:row>
    <s:row r="18" spans="1:6" ns3:dyDescent="0.3">
      <s:c r="A18" s="30">
        <s:v>35059</s:v>
      </s:c>
      <s:c r="B18" s="31" t="s">
        <s:v>35</s:v>
      </s:c>
      <s:c r="C18" s="31" t="s">
        <s:v>36</s:v>
      </s:c>
      <s:c r="D18" s="32">
        <s:v>670</s:v>
      </s:c>
      <s:c r="E18" s="26"/>
      <s:c r="F18" s="29">
        <s:f t="shared" si="0"/>
        <s:v>0</s:v>
      </s:c>
    </s:row>
    <s:row r="19" spans="1:6" ns3:dyDescent="0.3">
      <s:c r="A19" s="30">
        <s:v>35060</s:v>
      </s:c>
      <s:c r="B19" s="31" t="s">
        <s:v>37</s:v>
      </s:c>
      <s:c r="C19" s="31" t="s">
        <s:v>36</s:v>
      </s:c>
      <s:c r="D19" s="32">
        <s:v>670</s:v>
      </s:c>
      <s:c r="E19" s="26"/>
      <s:c r="F19" s="29">
        <s:f t="shared" si="0"/>
        <s:v>0</s:v>
      </s:c>
    </s:row>
    <s:row r="20" spans="1:6" ns3:dyDescent="0.3">
      <s:c r="A20" s="30">
        <s:v>35071</s:v>
      </s:c>
      <s:c r="B20" s="31" t="s">
        <s:v>38</s:v>
      </s:c>
      <s:c r="C20" s="31" t="s">
        <s:v>39</s:v>
      </s:c>
      <s:c r="D20" s="32">
        <s:v>450</s:v>
      </s:c>
      <s:c r="E20" s="26"/>
      <s:c r="F20" s="29">
        <s:f t="shared" si="0"/>
        <s:v>0</s:v>
      </s:c>
    </s:row>
    <s:row r="21" spans="1:6" ns3:dyDescent="0.3">
      <s:c r="A21" s="30">
        <s:v>35076</s:v>
      </s:c>
      <s:c r="B21" s="31" t="s">
        <s:v>40</s:v>
      </s:c>
      <s:c r="C21" s="31" t="s">
        <s:v>41</s:v>
      </s:c>
      <s:c r="D21" s="32">
        <s:v>260</s:v>
      </s:c>
      <s:c r="E21" s="26"/>
      <s:c r="F21" s="29">
        <s:f t="shared" si="0"/>
        <s:v>0</s:v>
      </s:c>
    </s:row>
    <s:row r="22" spans="1:6" ns3:dyDescent="0.3">
      <s:c r="A22" s="30">
        <s:v>35077</s:v>
      </s:c>
      <s:c r="B22" s="31" t="s">
        <s:v>42</s:v>
      </s:c>
      <s:c r="C22" s="31" t="s">
        <s:v>43</s:v>
      </s:c>
      <s:c r="D22" s="32">
        <s:v>260</s:v>
      </s:c>
      <s:c r="E22" s="26"/>
      <s:c r="F22" s="29">
        <s:f t="shared" si="0"/>
        <s:v>0</s:v>
      </s:c>
    </s:row>
    <s:row r="23" spans="1:6" ns3:dyDescent="0.3">
      <s:c r="A23" s="30">
        <s:v>35082</s:v>
      </s:c>
      <s:c r="B23" s="31" t="s">
        <s:v>44</s:v>
      </s:c>
      <s:c r="C23" s="31" t="s">
        <s:v>32</s:v>
      </s:c>
      <s:c r="D23" s="32">
        <s:v>1100</s:v>
      </s:c>
      <s:c r="E23" s="26"/>
      <s:c r="F23" s="29">
        <s:f t="shared" si="0"/>
        <s:v>0</s:v>
      </s:c>
    </s:row>
    <s:row r="24" spans="1:6" ns3:dyDescent="0.3">
      <s:c r="A24" s="30">
        <s:v>35083</s:v>
      </s:c>
      <s:c r="B24" s="31" t="s">
        <s:v>45</s:v>
      </s:c>
      <s:c r="C24" s="31" t="s">
        <s:v>46</s:v>
      </s:c>
      <s:c r="D24" s="32">
        <s:v>350</s:v>
      </s:c>
      <s:c r="E24" s="26"/>
      <s:c r="F24" s="29">
        <s:f t="shared" si="0"/>
        <s:v>0</s:v>
      </s:c>
    </s:row>
    <s:row r="25" spans="1:6" ns3:dyDescent="0.3">
      <s:c r="A25" s="30">
        <s:v>35084</s:v>
      </s:c>
      <s:c r="B25" s="31" t="s">
        <s:v>47</s:v>
      </s:c>
      <s:c r="C25" s="31" t="s">
        <s:v>11</s:v>
      </s:c>
      <s:c r="D25" s="32">
        <s:v>1300</s:v>
      </s:c>
      <s:c r="E25" s="26"/>
      <s:c r="F25" s="29">
        <s:f t="shared" si="0"/>
        <s:v>0</s:v>
      </s:c>
    </s:row>
    <s:row r="26" spans="1:6" ns3:dyDescent="0.3">
      <s:c r="A26" s="30">
        <s:v>35085</s:v>
      </s:c>
      <s:c r="B26" s="31" t="s">
        <s:v>48</s:v>
      </s:c>
      <s:c r="C26" s="31" t="s">
        <s:v>34</s:v>
      </s:c>
      <s:c r="D26" s="32">
        <s:v>970</s:v>
      </s:c>
      <s:c r="E26" s="26"/>
      <s:c r="F26" s="29">
        <s:f t="shared" si="0"/>
        <s:v>0</s:v>
      </s:c>
    </s:row>
    <s:row r="27" spans="1:6" ns3:dyDescent="0.3">
      <s:c r="A27" s="30">
        <s:v>35088</s:v>
      </s:c>
      <s:c r="B27" s="31" t="s">
        <s:v>49</s:v>
      </s:c>
      <s:c r="C27" s="31" t="s">
        <s:v>50</s:v>
      </s:c>
      <s:c r="D27" s="32">
        <s:v>1320</s:v>
      </s:c>
      <s:c r="E27" s="26"/>
      <s:c r="F27" s="29">
        <s:f t="shared" si="0"/>
        <s:v>0</s:v>
      </s:c>
    </s:row>
    <s:row r="28" spans="1:6" ns3:dyDescent="0.3">
      <s:c r="A28" s="30">
        <s:v>35094</s:v>
      </s:c>
      <s:c r="B28" s="31" t="s">
        <s:v>51</s:v>
      </s:c>
      <s:c r="C28" s="31" t="s">
        <s:v>52</s:v>
      </s:c>
      <s:c r="D28" s="32">
        <s:v>720</s:v>
      </s:c>
      <s:c r="E28" s="26"/>
      <s:c r="F28" s="29">
        <s:f t="shared" si="0"/>
        <s:v>0</s:v>
      </s:c>
    </s:row>
    <s:row r="29" spans="1:6" ns3:dyDescent="0.3">
      <s:c r="A29" s="30">
        <s:v>35095</s:v>
      </s:c>
      <s:c r="B29" s="31" t="s">
        <s:v>53</s:v>
      </s:c>
      <s:c r="C29" s="31" t="s">
        <s:v>11</s:v>
      </s:c>
      <s:c r="D29" s="32">
        <s:v>1470</s:v>
      </s:c>
      <s:c r="E29" s="26"/>
      <s:c r="F29" s="29">
        <s:f t="shared" si="0"/>
        <s:v>0</s:v>
      </s:c>
    </s:row>
    <s:row r="30" spans="1:6" ns3:dyDescent="0.3">
      <s:c r="A30" s="30">
        <s:v>35099</s:v>
      </s:c>
      <s:c r="B30" s="31" t="s">
        <s:v>54</s:v>
      </s:c>
      <s:c r="C30" s="31" t="s">
        <s:v>52</s:v>
      </s:c>
      <s:c r="D30" s="32">
        <s:v>390</s:v>
      </s:c>
      <s:c r="E30" s="26"/>
      <s:c r="F30" s="29">
        <s:f t="shared" si="0"/>
        <s:v>0</s:v>
      </s:c>
    </s:row>
    <s:row r="31" spans="1:6" ns3:dyDescent="0.3">
      <s:c r="A31" s="30">
        <s:v>35103</s:v>
      </s:c>
      <s:c r="B31" s="31" t="s">
        <s:v>55</s:v>
      </s:c>
      <s:c r="C31" s="31" t="s">
        <s:v>56</s:v>
      </s:c>
      <s:c r="D31" s="32">
        <s:v>1100</s:v>
      </s:c>
      <s:c r="E31" s="26"/>
      <s:c r="F31" s="29">
        <s:f t="shared" si="0"/>
        <s:v>0</s:v>
      </s:c>
    </s:row>
    <s:row r="32" spans="1:6" ns3:dyDescent="0.3">
      <s:c r="A32" s="30">
        <s:v>35109</s:v>
      </s:c>
      <s:c r="B32" s="31" t="s">
        <s:v>57</s:v>
      </s:c>
      <s:c r="C32" s="31" t="s">
        <s:v>11</s:v>
      </s:c>
      <s:c r="D32" s="32">
        <s:v>870</s:v>
      </s:c>
      <s:c r="E32" s="26"/>
      <s:c r="F32" s="29">
        <s:f t="shared" si="0"/>
        <s:v>0</s:v>
      </s:c>
    </s:row>
    <s:row r="33" spans="1:6" ns3:dyDescent="0.3">
      <s:c r="A33" s="30">
        <s:v>35111</s:v>
      </s:c>
      <s:c r="B33" s="31" t="s">
        <s:v>58</s:v>
      </s:c>
      <s:c r="C33" s="31" t="s">
        <s:v>59</s:v>
      </s:c>
      <s:c r="D33" s="32">
        <s:v>790</s:v>
      </s:c>
      <s:c r="E33" s="26"/>
      <s:c r="F33" s="29">
        <s:f t="shared" si="0"/>
        <s:v>0</s:v>
      </s:c>
    </s:row>
    <s:row r="34" spans="1:6" ns3:dyDescent="0.3">
      <s:c r="A34" s="30">
        <s:v>35112</s:v>
      </s:c>
      <s:c r="B34" s="31" t="s">
        <s:v>60</s:v>
      </s:c>
      <s:c r="C34" s="31" t="s">
        <s:v>11</s:v>
      </s:c>
      <s:c r="D34" s="32">
        <s:v>990</s:v>
      </s:c>
      <s:c r="E34" s="26"/>
      <s:c r="F34" s="29">
        <s:f t="shared" si="0"/>
        <s:v>0</s:v>
      </s:c>
    </s:row>
    <s:row r="35" spans="1:6" ns3:dyDescent="0.3">
      <s:c r="A35" s="30">
        <s:v>35116</s:v>
      </s:c>
      <s:c r="B35" s="31" t="s">
        <s:v>61</s:v>
      </s:c>
      <s:c r="C35" s="31" t="s">
        <s:v>11</s:v>
      </s:c>
      <s:c r="D35" s="32">
        <s:v>570</s:v>
      </s:c>
      <s:c r="E35" s="26"/>
      <s:c r="F35" s="29">
        <s:f t="shared" si="0"/>
        <s:v>0</s:v>
      </s:c>
    </s:row>
    <s:row r="36" spans="1:6" ns3:dyDescent="0.3">
      <s:c r="A36" s="30">
        <s:v>35120</s:v>
      </s:c>
      <s:c r="B36" s="31" t="s">
        <s:v>62</s:v>
      </s:c>
      <s:c r="C36" s="31" t="s">
        <s:v>43</s:v>
      </s:c>
      <s:c r="D36" s="32">
        <s:v>490</s:v>
      </s:c>
      <s:c r="E36" s="26"/>
      <s:c r="F36" s="29">
        <s:f t="shared" si="0"/>
        <s:v>0</s:v>
      </s:c>
    </s:row>
    <s:row r="37" spans="1:6" ns3:dyDescent="0.3">
      <s:c r="A37" s="30">
        <s:v>35121</s:v>
      </s:c>
      <s:c r="B37" s="31" t="s">
        <s:v>63</s:v>
      </s:c>
      <s:c r="C37" s="31" t="s">
        <s:v>43</s:v>
      </s:c>
      <s:c r="D37" s="32">
        <s:v>390</s:v>
      </s:c>
      <s:c r="E37" s="26"/>
      <s:c r="F37" s="29">
        <s:f t="shared" si="0"/>
        <s:v>0</s:v>
      </s:c>
    </s:row>
    <s:row r="38" spans="1:6" ht="15.6" customHeight="1" ns3:dyDescent="0.3">
      <s:c r="A38" s="30">
        <s:v>35122</s:v>
      </s:c>
      <s:c r="B38" s="31" t="s">
        <s:v>64</s:v>
      </s:c>
      <s:c r="C38" s="31" t="s">
        <s:v>11</s:v>
      </s:c>
      <s:c r="D38" s="32">
        <s:v>590</s:v>
      </s:c>
      <s:c r="E38" s="26"/>
      <s:c r="F38" s="29">
        <s:f t="shared" si="0"/>
        <s:v>0</s:v>
      </s:c>
    </s:row>
    <s:row r="39" spans="1:6" ns3:dyDescent="0.3">
      <s:c r="A39" s="30">
        <s:v>35125</s:v>
      </s:c>
      <s:c r="B39" s="31" t="s">
        <s:v>65</s:v>
      </s:c>
      <s:c r="C39" s="31" t="s">
        <s:v>66</s:v>
      </s:c>
      <s:c r="D39" s="32">
        <s:v>760</s:v>
      </s:c>
      <s:c r="E39" s="26"/>
      <s:c r="F39" s="29">
        <s:f t="shared" si="0"/>
        <s:v>0</s:v>
      </s:c>
    </s:row>
    <s:row r="40" spans="1:6" ns3:dyDescent="0.3">
      <s:c r="A40" s="30">
        <s:v>35126</s:v>
      </s:c>
      <s:c r="B40" s="31" t="s">
        <s:v>67</s:v>
      </s:c>
      <s:c r="C40" s="31" t="s">
        <s:v>66</s:v>
      </s:c>
      <s:c r="D40" s="32">
        <s:v>970</s:v>
      </s:c>
      <s:c r="E40" s="26"/>
      <s:c r="F40" s="29">
        <s:f t="shared" ref="F40:F57" si="1">D40*E40</s:f>
        <s:v>0</s:v>
      </s:c>
    </s:row>
    <s:row r="41" spans="1:6" ns3:dyDescent="0.3">
      <s:c r="A41" s="30">
        <s:v>35127</s:v>
      </s:c>
      <s:c r="B41" s="31" t="s">
        <s:v>68</s:v>
      </s:c>
      <s:c r="C41" s="31" t="s">
        <s:v>11</s:v>
      </s:c>
      <s:c r="D41" s="32">
        <s:v>390</s:v>
      </s:c>
      <s:c r="E41" s="26"/>
      <s:c r="F41" s="29">
        <s:f t="shared" si="1"/>
        <s:v>0</s:v>
      </s:c>
    </s:row>
    <s:row r="42" spans="1:6" ns3:dyDescent="0.3">
      <s:c r="A42" s="30">
        <s:v>35132</s:v>
      </s:c>
      <s:c r="B42" s="31" t="s">
        <s:v>69</s:v>
      </s:c>
      <s:c r="C42" s="31" t="s">
        <s:v>11</s:v>
      </s:c>
      <s:c r="D42" s="32">
        <s:v>1680</s:v>
      </s:c>
      <s:c r="E42" s="26"/>
      <s:c r="F42" s="29">
        <s:f t="shared" si="1"/>
        <s:v>0</s:v>
      </s:c>
    </s:row>
    <s:row r="43" spans="1:6" ns3:dyDescent="0.3">
      <s:c r="A43" s="30">
        <s:v>35135</s:v>
      </s:c>
      <s:c r="B43" s="31" t="s">
        <s:v>70</s:v>
      </s:c>
      <s:c r="C43" s="31" t="s">
        <s:v>56</s:v>
      </s:c>
      <s:c r="D43" s="32">
        <s:v>1470</s:v>
      </s:c>
      <s:c r="E43" s="26"/>
      <s:c r="F43" s="29">
        <s:f t="shared" si="1"/>
        <s:v>0</s:v>
      </s:c>
    </s:row>
    <s:row r="44" spans="1:6" ns3:dyDescent="0.3">
      <s:c r="A44" s="30">
        <s:v>35136</s:v>
      </s:c>
      <s:c r="B44" s="31" t="s">
        <s:v>71</s:v>
      </s:c>
      <s:c r="C44" s="31" t="s">
        <s:v>56</s:v>
      </s:c>
      <s:c r="D44" s="32">
        <s:v>1470</s:v>
      </s:c>
      <s:c r="E44" s="26"/>
      <s:c r="F44" s="29">
        <s:f t="shared" si="1"/>
        <s:v>0</s:v>
      </s:c>
    </s:row>
    <s:row r="45" spans="1:6" ns3:dyDescent="0.3">
      <s:c r="A45" s="30">
        <s:v>35137</s:v>
      </s:c>
      <s:c r="B45" s="31" t="s">
        <s:v>72</s:v>
      </s:c>
      <s:c r="C45" s="31" t="s">
        <s:v>56</s:v>
      </s:c>
      <s:c r="D45" s="32">
        <s:v>1470</s:v>
      </s:c>
      <s:c r="E45" s="26"/>
      <s:c r="F45" s="29">
        <s:f t="shared" si="1"/>
        <s:v>0</s:v>
      </s:c>
    </s:row>
    <s:row r="46" spans="1:6" ns3:dyDescent="0.3">
      <s:c r="A46" s="30">
        <s:v>35138</s:v>
      </s:c>
      <s:c r="B46" s="31" t="s">
        <s:v>73</s:v>
      </s:c>
      <s:c r="C46" s="31" t="s">
        <s:v>34</s:v>
      </s:c>
      <s:c r="D46" s="32">
        <s:v>1100</s:v>
      </s:c>
      <s:c r="E46" s="26"/>
      <s:c r="F46" s="29">
        <s:f t="shared" si="1"/>
        <s:v>0</s:v>
      </s:c>
    </s:row>
    <s:row r="47" spans="1:6" ns3:dyDescent="0.3">
      <s:c r="A47" s="30">
        <s:v>35140</s:v>
      </s:c>
      <s:c r="B47" s="31" t="s">
        <s:v>74</s:v>
      </s:c>
      <s:c r="C47" s="31" t="s">
        <s:v>75</s:v>
      </s:c>
      <s:c r="D47" s="32">
        <s:v>1680</s:v>
      </s:c>
      <s:c r="E47" s="26"/>
      <s:c r="F47" s="29">
        <s:f t="shared" si="1"/>
        <s:v>0</s:v>
      </s:c>
    </s:row>
    <s:row r="48" spans="1:6" ns3:dyDescent="0.3">
      <s:c r="A48" s="30">
        <s:v>35141</s:v>
      </s:c>
      <s:c r="B48" s="31" t="s">
        <s:v>76</s:v>
      </s:c>
      <s:c r="C48" s="31" t="s">
        <s:v>77</s:v>
      </s:c>
      <s:c r="D48" s="32">
        <s:v>1680</s:v>
      </s:c>
      <s:c r="E48" s="26"/>
      <s:c r="F48" s="29">
        <s:f t="shared" si="1"/>
        <s:v>0</s:v>
      </s:c>
    </s:row>
    <s:row r="49" spans="1:6" ns3:dyDescent="0.3">
      <s:c r="A49" s="30">
        <s:v>35142</s:v>
      </s:c>
      <s:c r="B49" s="31" t="s">
        <s:v>78</s:v>
      </s:c>
      <s:c r="C49" s="31" t="s">
        <s:v>36</s:v>
      </s:c>
      <s:c r="D49" s="32">
        <s:v>670</s:v>
      </s:c>
      <s:c r="E49" s="26"/>
      <s:c r="F49" s="29">
        <s:f t="shared" si="1"/>
        <s:v>0</s:v>
      </s:c>
    </s:row>
    <s:row r="50" spans="1:6" ns3:dyDescent="0.3">
      <s:c r="A50" s="30">
        <s:v>35147</s:v>
      </s:c>
      <s:c r="B50" s="31" t="s">
        <s:v>79</s:v>
      </s:c>
      <s:c r="C50" s="31" t="s">
        <s:v>11</s:v>
      </s:c>
      <s:c r="D50" s="32">
        <s:v>1680</s:v>
      </s:c>
      <s:c r="E50" s="26"/>
      <s:c r="F50" s="29">
        <s:f t="shared" si="1"/>
        <s:v>0</s:v>
      </s:c>
    </s:row>
    <s:row r="51" spans="1:6" ns3:dyDescent="0.3">
      <s:c r="A51" s="30">
        <s:v>35149</s:v>
      </s:c>
      <s:c r="B51" s="31" t="s">
        <s:v>80</s:v>
      </s:c>
      <s:c r="C51" s="31" t="s">
        <s:v>81</s:v>
      </s:c>
      <s:c r="D51" s="32">
        <s:v>670</s:v>
      </s:c>
      <s:c r="E51" s="26"/>
      <s:c r="F51" s="29">
        <s:f t="shared" si="1"/>
        <s:v>0</s:v>
      </s:c>
    </s:row>
    <s:row r="52" spans="1:6" ns3:dyDescent="0.3">
      <s:c r="A52" s="30">
        <s:v>35150</s:v>
      </s:c>
      <s:c r="B52" s="31" t="s">
        <s:v>82</s:v>
      </s:c>
      <s:c r="C52" s="31" t="s">
        <s:v>36</s:v>
      </s:c>
      <s:c r="D52" s="32">
        <s:v>570</s:v>
      </s:c>
      <s:c r="E52" s="26"/>
      <s:c r="F52" s="29">
        <s:f t="shared" si="1"/>
        <s:v>0</s:v>
      </s:c>
    </s:row>
    <s:row r="53" spans="1:6" ns3:dyDescent="0.3">
      <s:c r="A53" s="30">
        <s:v>35152</s:v>
      </s:c>
      <s:c r="B53" s="31" t="s">
        <s:v>83</s:v>
      </s:c>
      <s:c r="C53" s="31" t="s">
        <s:v>84</s:v>
      </s:c>
      <s:c r="D53" s="32">
        <s:v>720</s:v>
      </s:c>
      <s:c r="E53" s="26"/>
      <s:c r="F53" s="29">
        <s:f t="shared" si="1"/>
        <s:v>0</s:v>
      </s:c>
    </s:row>
    <s:row r="54" spans="1:6" ns3:dyDescent="0.3">
      <s:c r="A54" s="30">
        <s:v>35154</s:v>
      </s:c>
      <s:c r="B54" s="31" t="s">
        <s:v>85</s:v>
      </s:c>
      <s:c r="C54" s="31" t="s">
        <s:v>86</s:v>
      </s:c>
      <s:c r="D54" s="32">
        <s:v>760</s:v>
      </s:c>
      <s:c r="E54" s="26"/>
      <s:c r="F54" s="29">
        <s:f t="shared" si="1"/>
        <s:v>0</s:v>
      </s:c>
    </s:row>
    <s:row r="55" spans="1:6" ns3:dyDescent="0.3">
      <s:c r="A55" s="30">
        <s:v>35155</s:v>
      </s:c>
      <s:c r="B55" s="31" t="s">
        <s:v>87</s:v>
      </s:c>
      <s:c r="C55" s="31" t="s">
        <s:v>86</s:v>
      </s:c>
      <s:c r="D55" s="32">
        <s:v>760</s:v>
      </s:c>
      <s:c r="E55" s="26"/>
      <s:c r="F55" s="29">
        <s:f t="shared" si="1"/>
        <s:v>0</s:v>
      </s:c>
    </s:row>
    <s:row r="56" spans="1:6" ns3:dyDescent="0.3">
      <s:c r="A56" s="30">
        <s:v>35156</s:v>
      </s:c>
      <s:c r="B56" s="31" t="s">
        <s:v>88</s:v>
      </s:c>
      <s:c r="C56" s="31" t="s">
        <s:v>86</s:v>
      </s:c>
      <s:c r="D56" s="32">
        <s:v>760</s:v>
      </s:c>
      <s:c r="E56" s="26"/>
      <s:c r="F56" s="29">
        <s:f t="shared" si="1"/>
        <s:v>0</s:v>
      </s:c>
    </s:row>
    <s:row r="57" spans="1:6" ns3:dyDescent="0.3">
      <s:c r="A57" s="30">
        <s:v>35157</s:v>
      </s:c>
      <s:c r="B57" s="31" t="s">
        <s:v>89</s:v>
      </s:c>
      <s:c r="C57" s="31" t="s">
        <s:v>86</s:v>
      </s:c>
      <s:c r="D57" s="32">
        <s:v>760</s:v>
      </s:c>
      <s:c r="E57" s="26"/>
      <s:c r="F57" s="29">
        <s:f t="shared" si="1"/>
        <s:v>0</s:v>
      </s:c>
    </s:row>
    <s:row r="58" spans="1:6" ns3:dyDescent="0.3">
      <s:c r="A58" s="39">
        <s:v>35158</s:v>
      </s:c>
      <s:c r="B58" s="34" t="s">
        <s:v>90</s:v>
      </s:c>
      <s:c r="C58" s="34" t="s">
        <s:v>91</s:v>
      </s:c>
      <s:c r="D58" s="40">
        <s:v>1100</s:v>
      </s:c>
      <s:c r="E58" s="41" t="s">
        <s:v>14</s:v>
      </s:c>
      <s:c r="F58" s="42">
        <s:v>0</s:v>
      </s:c>
    </s:row>
    <s:row r="59" spans="1:6" ns3:dyDescent="0.3">
      <s:c r="A59" s="30">
        <s:v>35159</s:v>
      </s:c>
      <s:c r="B59" s="31" t="s">
        <s:v>92</s:v>
      </s:c>
      <s:c r="C59" s="31" t="s">
        <s:v>86</s:v>
      </s:c>
      <s:c r="D59" s="32">
        <s:v>760</s:v>
      </s:c>
      <s:c r="E59" s="26"/>
      <s:c r="F59" s="29">
        <s:f t="shared" ref="F59:F85" si="2">D59*E59</s:f>
        <s:v>0</s:v>
      </s:c>
    </s:row>
    <s:row r="60" spans="1:6" ns3:dyDescent="0.3">
      <s:c r="A60" s="30">
        <s:v>35160</s:v>
      </s:c>
      <s:c r="B60" s="31" t="s">
        <s:v>93</s:v>
      </s:c>
      <s:c r="C60" s="31" t="s">
        <s:v>86</s:v>
      </s:c>
      <s:c r="D60" s="32">
        <s:v>520</s:v>
      </s:c>
      <s:c r="E60" s="26"/>
      <s:c r="F60" s="29">
        <s:f t="shared" si="2"/>
        <s:v>0</s:v>
      </s:c>
    </s:row>
    <s:row r="61" spans="1:6" ns3:dyDescent="0.3">
      <s:c r="A61" s="30">
        <s:v>35161</s:v>
      </s:c>
      <s:c r="B61" s="31" t="s">
        <s:v>94</s:v>
      </s:c>
      <s:c r="C61" s="31" t="s">
        <s:v>86</s:v>
      </s:c>
      <s:c r="D61" s="32">
        <s:v>570</s:v>
      </s:c>
      <s:c r="E61" s="26"/>
      <s:c r="F61" s="29">
        <s:f t="shared" si="2"/>
        <s:v>0</s:v>
      </s:c>
    </s:row>
    <s:row r="62" spans="1:6" ns3:dyDescent="0.3">
      <s:c r="A62" s="30">
        <s:v>35164</s:v>
      </s:c>
      <s:c r="B62" s="31" t="s">
        <s:v>95</s:v>
      </s:c>
      <s:c r="C62" s="31" t="s">
        <s:v>86</s:v>
      </s:c>
      <s:c r="D62" s="32">
        <s:v>470</s:v>
      </s:c>
      <s:c r="E62" s="26"/>
      <s:c r="F62" s="29">
        <s:f t="shared" si="2"/>
        <s:v>0</s:v>
      </s:c>
    </s:row>
    <s:row r="63" spans="1:6" ns3:dyDescent="0.3">
      <s:c r="A63" s="30">
        <s:v>35165</s:v>
      </s:c>
      <s:c r="B63" s="31" t="s">
        <s:v>96</s:v>
      </s:c>
      <s:c r="C63" s="31" t="s">
        <s:v>86</s:v>
      </s:c>
      <s:c r="D63" s="32">
        <s:v>470</s:v>
      </s:c>
      <s:c r="E63" s="26"/>
      <s:c r="F63" s="29">
        <s:f t="shared" si="2"/>
        <s:v>0</s:v>
      </s:c>
    </s:row>
    <s:row r="64" spans="1:6" ns3:dyDescent="0.3">
      <s:c r="A64" s="30">
        <s:v>35166</s:v>
      </s:c>
      <s:c r="B64" s="31" t="s">
        <s:v>97</s:v>
      </s:c>
      <s:c r="C64" s="31" t="s">
        <s:v>86</s:v>
      </s:c>
      <s:c r="D64" s="32">
        <s:v>570</s:v>
      </s:c>
      <s:c r="E64" s="26"/>
      <s:c r="F64" s="29">
        <s:f t="shared" si="2"/>
        <s:v>0</s:v>
      </s:c>
    </s:row>
    <s:row r="65" spans="1:6" ns3:dyDescent="0.3">
      <s:c r="A65" s="30">
        <s:v>35167</s:v>
      </s:c>
      <s:c r="B65" s="31" t="s">
        <s:v>98</s:v>
      </s:c>
      <s:c r="C65" s="31" t="s">
        <s:v>86</s:v>
      </s:c>
      <s:c r="D65" s="32">
        <s:v>570</s:v>
      </s:c>
      <s:c r="E65" s="26"/>
      <s:c r="F65" s="29">
        <s:f t="shared" si="2"/>
        <s:v>570.0</s:v>
      </s:c>
    </s:row>
    <s:row r="66" spans="1:6" ns3:dyDescent="0.3">
      <s:c r="A66" s="30">
        <s:v>35169</s:v>
      </s:c>
      <s:c r="B66" s="31" t="s">
        <s:v>99</s:v>
      </s:c>
      <s:c r="C66" s="31" t="s">
        <s:v>100</s:v>
      </s:c>
      <s:c r="D66" s="32">
        <s:v>720</s:v>
      </s:c>
      <s:c r="E66" s="26"/>
      <s:c r="F66" s="29">
        <s:f t="shared" si="2"/>
        <s:v>0</s:v>
      </s:c>
    </s:row>
    <s:row r="67" spans="1:6" ns3:dyDescent="0.3">
      <s:c r="A67" s="30">
        <s:v>35177</s:v>
      </s:c>
      <s:c r="B67" s="31" t="s">
        <s:v>101</s:v>
      </s:c>
      <s:c r="C67" s="31" t="s">
        <s:v>43</s:v>
      </s:c>
      <s:c r="D67" s="32">
        <s:v>520</s:v>
      </s:c>
      <s:c r="E67" s="26"/>
      <s:c r="F67" s="29">
        <s:f t="shared" si="2"/>
        <s:v>0</s:v>
      </s:c>
    </s:row>
    <s:row r="68" spans="1:6" ns3:dyDescent="0.3">
      <s:c r="A68" s="30">
        <s:v>35178</s:v>
      </s:c>
      <s:c r="B68" s="31" t="s">
        <s:v>102</s:v>
      </s:c>
      <s:c r="C68" s="31" t="s">
        <s:v>18</s:v>
      </s:c>
      <s:c r="D68" s="32">
        <s:v>870</s:v>
      </s:c>
      <s:c r="E68" s="26"/>
      <s:c r="F68" s="29">
        <s:f t="shared" si="2"/>
        <s:v>0</s:v>
      </s:c>
    </s:row>
    <s:row r="69" spans="1:6" ns3:dyDescent="0.3">
      <s:c r="A69" s="30">
        <s:v>35180</s:v>
      </s:c>
      <s:c r="B69" s="31" t="s">
        <s:v>103</s:v>
      </s:c>
      <s:c r="C69" s="31" t="s">
        <s:v>18</s:v>
      </s:c>
      <s:c r="D69" s="32">
        <s:v>550</s:v>
      </s:c>
      <s:c r="E69" s="26"/>
      <s:c r="F69" s="29">
        <s:f t="shared" si="2"/>
        <s:v>0</s:v>
      </s:c>
    </s:row>
    <s:row r="70" spans="1:6" ns3:dyDescent="0.3">
      <s:c r="A70" s="30">
        <s:v>35185</s:v>
      </s:c>
      <s:c r="B70" s="31" t="s">
        <s:v>104</s:v>
      </s:c>
      <s:c r="C70" s="31" t="s">
        <s:v>105</s:v>
      </s:c>
      <s:c r="D70" s="32">
        <s:v>470</s:v>
      </s:c>
      <s:c r="E70" s="26"/>
      <s:c r="F70" s="29">
        <s:f t="shared" si="2"/>
        <s:v>470.0</s:v>
      </s:c>
    </s:row>
    <s:row r="71" spans="1:6" ns3:dyDescent="0.3">
      <s:c r="A71" s="30">
        <s:v>35186</s:v>
      </s:c>
      <s:c r="B71" s="31" t="s">
        <s:v>106</s:v>
      </s:c>
      <s:c r="C71" s="31" t="s">
        <s:v>107</s:v>
      </s:c>
      <s:c r="D71" s="32">
        <s:v>1160</s:v>
      </s:c>
      <s:c r="E71" s="26"/>
      <s:c r="F71" s="29">
        <s:f t="shared" si="2"/>
        <s:v>0</s:v>
      </s:c>
    </s:row>
    <s:row r="72" spans="1:6" ns3:dyDescent="0.3">
      <s:c r="A72" s="30">
        <s:v>35187</s:v>
      </s:c>
      <s:c r="B72" s="31" t="s">
        <s:v>108</s:v>
      </s:c>
      <s:c r="C72" s="31" t="s">
        <s:v>109</s:v>
      </s:c>
      <s:c r="D72" s="32">
        <s:v>520</s:v>
      </s:c>
      <s:c r="E72" s="26"/>
      <s:c r="F72" s="29">
        <s:f t="shared" si="2"/>
        <s:v>0</s:v>
      </s:c>
    </s:row>
    <s:row r="73" spans="1:6" ns3:dyDescent="0.3">
      <s:c r="A73" s="30">
        <s:v>35190</s:v>
      </s:c>
      <s:c r="B73" s="31" t="s">
        <s:v>110</s:v>
      </s:c>
      <s:c r="C73" s="31" t="s">
        <s:v>111</s:v>
      </s:c>
      <s:c r="D73" s="32">
        <s:v>1540</s:v>
      </s:c>
      <s:c r="E73" s="26"/>
      <s:c r="F73" s="29">
        <s:f t="shared" si="2"/>
        <s:v>0</s:v>
      </s:c>
    </s:row>
    <s:row r="74" spans="1:6" ns3:dyDescent="0.3">
      <s:c r="A74" s="30">
        <s:v>35191</s:v>
      </s:c>
      <s:c r="B74" s="31" t="s">
        <s:v>112</s:v>
      </s:c>
      <s:c r="C74" s="31" t="s">
        <s:v>86</s:v>
      </s:c>
      <s:c r="D74" s="32">
        <s:v>720</s:v>
      </s:c>
      <s:c r="E74" s="26"/>
      <s:c r="F74" s="29">
        <s:f t="shared" si="2"/>
        <s:v>0</s:v>
      </s:c>
    </s:row>
    <s:row r="75" spans="1:6" ns3:dyDescent="0.3">
      <s:c r="A75" s="30">
        <s:v>35192</s:v>
      </s:c>
      <s:c r="B75" s="31" t="s">
        <s:v>113</s:v>
      </s:c>
      <s:c r="C75" s="31" t="s">
        <s:v>86</s:v>
      </s:c>
      <s:c r="D75" s="32">
        <s:v>520</s:v>
      </s:c>
      <s:c r="E75" s="26"/>
      <s:c r="F75" s="29">
        <s:f t="shared" si="2"/>
        <s:v>0</s:v>
      </s:c>
    </s:row>
    <s:row r="76" spans="1:6" ns3:dyDescent="0.3">
      <s:c r="A76" s="30">
        <s:v>35193</s:v>
      </s:c>
      <s:c r="B76" s="31" t="s">
        <s:v>114</s:v>
      </s:c>
      <s:c r="C76" s="31" t="s">
        <s:v>86</s:v>
      </s:c>
      <s:c r="D76" s="32">
        <s:v>520</s:v>
      </s:c>
      <s:c r="E76" s="26"/>
      <s:c r="F76" s="29">
        <s:f t="shared" si="2"/>
        <s:v>0</s:v>
      </s:c>
    </s:row>
    <s:row r="77" spans="1:6" ns3:dyDescent="0.3">
      <s:c r="A77" s="30">
        <s:v>35194</s:v>
      </s:c>
      <s:c r="B77" s="31" t="s">
        <s:v>115</s:v>
      </s:c>
      <s:c r="C77" s="31" t="s">
        <s:v>116</s:v>
      </s:c>
      <s:c r="D77" s="32">
        <s:v>870</s:v>
      </s:c>
      <s:c r="E77" s="26"/>
      <s:c r="F77" s="29">
        <s:f t="shared" si="2"/>
        <s:v>0</s:v>
      </s:c>
    </s:row>
    <s:row r="78" spans="1:6" ns3:dyDescent="0.3">
      <s:c r="A78" s="30">
        <s:v>35195</s:v>
      </s:c>
      <s:c r="B78" s="31" t="s">
        <s:v>117</s:v>
      </s:c>
      <s:c r="C78" s="31" t="s">
        <s:v>86</s:v>
      </s:c>
      <s:c r="D78" s="32">
        <s:v>490</s:v>
      </s:c>
      <s:c r="E78" s="26"/>
      <s:c r="F78" s="29">
        <s:f t="shared" si="2"/>
        <s:v>0</s:v>
      </s:c>
    </s:row>
    <s:row r="79" spans="1:6" ns3:dyDescent="0.3">
      <s:c r="A79" s="30">
        <s:v>35196</s:v>
      </s:c>
      <s:c r="B79" s="31" t="s">
        <s:v>118</s:v>
      </s:c>
      <s:c r="C79" s="31" t="s">
        <s:v>86</s:v>
      </s:c>
      <s:c r="D79" s="32">
        <s:v>490</s:v>
      </s:c>
      <s:c r="E79" s="26"/>
      <s:c r="F79" s="29">
        <s:f t="shared" si="2"/>
        <s:v>0</s:v>
      </s:c>
    </s:row>
    <s:row r="80" spans="1:6" ns3:dyDescent="0.3">
      <s:c r="A80" s="30">
        <s:v>35199</s:v>
      </s:c>
      <s:c r="B80" s="31" t="s">
        <s:v>119</s:v>
      </s:c>
      <s:c r="C80" s="31" t="s">
        <s:v>86</s:v>
      </s:c>
      <s:c r="D80" s="32">
        <s:v>520</s:v>
      </s:c>
      <s:c r="E80" s="26"/>
      <s:c r="F80" s="29">
        <s:f t="shared" si="2"/>
        <s:v>0</s:v>
      </s:c>
    </s:row>
    <s:row r="81" spans="1:6" ns3:dyDescent="0.3">
      <s:c r="A81" s="30">
        <s:v>35200</s:v>
      </s:c>
      <s:c r="B81" s="31" t="s">
        <s:v>120</s:v>
      </s:c>
      <s:c r="C81" s="31" t="s">
        <s:v>121</s:v>
      </s:c>
      <s:c r="D81" s="32">
        <s:v>520</s:v>
      </s:c>
      <s:c r="E81" s="26"/>
      <s:c r="F81" s="29">
        <s:f t="shared" si="2"/>
        <s:v>0</s:v>
      </s:c>
    </s:row>
    <s:row r="82" spans="1:6" ns3:dyDescent="0.3">
      <s:c r="A82" s="30">
        <s:v>35201</s:v>
      </s:c>
      <s:c r="B82" s="31" t="s">
        <s:v>122</s:v>
      </s:c>
      <s:c r="C82" s="31" t="s">
        <s:v>123</s:v>
      </s:c>
      <s:c r="D82" s="32">
        <s:v>1390</s:v>
      </s:c>
      <s:c r="E82" s="26"/>
      <s:c r="F82" s="29">
        <s:f t="shared" si="2"/>
        <s:v>0</s:v>
      </s:c>
    </s:row>
    <s:row r="83" spans="1:6" ns3:dyDescent="0.3">
      <s:c r="A83" s="30">
        <s:v>35202</s:v>
      </s:c>
      <s:c r="B83" s="31" t="s">
        <s:v>124</s:v>
      </s:c>
      <s:c r="C83" s="31" t="s">
        <s:v>125</s:v>
      </s:c>
      <s:c r="D83" s="32">
        <s:v>1160</s:v>
      </s:c>
      <s:c r="E83" s="26"/>
      <s:c r="F83" s="29">
        <s:f t="shared" si="2"/>
        <s:v>0</s:v>
      </s:c>
    </s:row>
    <s:row r="84" spans="1:6" ns3:dyDescent="0.3">
      <s:c r="A84" s="30">
        <s:v>35205</s:v>
      </s:c>
      <s:c r="B84" s="31" t="s">
        <s:v>126</s:v>
      </s:c>
      <s:c r="C84" s="31" t="s">
        <s:v>127</s:v>
      </s:c>
      <s:c r="D84" s="32">
        <s:v>570</s:v>
      </s:c>
      <s:c r="E84" s="26"/>
      <s:c r="F84" s="29">
        <s:f t="shared" si="2"/>
        <s:v>0</s:v>
      </s:c>
    </s:row>
    <s:row r="85" spans="1:6" ns3:dyDescent="0.3">
      <s:c r="A85" s="30">
        <s:v>35206</s:v>
      </s:c>
      <s:c r="B85" s="31" t="s">
        <s:v>128</s:v>
      </s:c>
      <s:c r="C85" s="31" t="s">
        <s:v>125</s:v>
      </s:c>
      <s:c r="D85" s="32">
        <s:v>520</s:v>
      </s:c>
      <s:c r="E85" s="26"/>
      <s:c r="F85" s="29">
        <s:f t="shared" si="2"/>
        <s:v>0</s:v>
      </s:c>
    </s:row>
    <s:row r="86" spans="1:6" ns3:dyDescent="0.3">
      <s:c r="A86" s="30">
        <s:v>35207</s:v>
      </s:c>
      <s:c r="B86" s="31" t="s">
        <s:v>129</s:v>
      </s:c>
      <s:c r="C86" s="31" t="s">
        <s:v>130</s:v>
      </s:c>
      <s:c r="D86" s="32">
        <s:v>790</s:v>
      </s:c>
      <s:c r="E86" s="26"/>
      <s:c r="F86" s="29">
        <s:v>0</s:v>
      </s:c>
    </s:row>
    <s:row r="87" spans="1:6" ns3:dyDescent="0.3">
      <s:c r="A87" s="30">
        <s:v>35208</s:v>
      </s:c>
      <s:c r="B87" s="31" t="s">
        <s:v>131</s:v>
      </s:c>
      <s:c r="C87" s="31" t="s">
        <s:v>132</s:v>
      </s:c>
      <s:c r="D87" s="32">
        <s:v>1390</s:v>
      </s:c>
      <s:c r="E87" s="26"/>
      <s:c r="F87" s="29">
        <s:f t="shared" ref="F87:F109" si="3">D87*E87</s:f>
        <s:v>0</s:v>
      </s:c>
    </s:row>
    <s:row r="88" spans="1:6" ns3:dyDescent="0.3">
      <s:c r="A88" s="30">
        <s:v>35209</s:v>
      </s:c>
      <s:c r="B88" s="31" t="s">
        <s:v>133</s:v>
      </s:c>
      <s:c r="C88" s="31" t="s">
        <s:v>134</s:v>
      </s:c>
      <s:c r="D88" s="32">
        <s:v>760</s:v>
      </s:c>
      <s:c r="E88" s="26"/>
      <s:c r="F88" s="29">
        <s:f t="shared" si="3"/>
        <s:v>0</s:v>
      </s:c>
    </s:row>
    <s:row r="89" spans="1:6" ns3:dyDescent="0.3">
      <s:c r="A89" s="30">
        <s:v>35210</s:v>
      </s:c>
      <s:c r="B89" s="31" t="s">
        <s:v>135</s:v>
      </s:c>
      <s:c r="C89" s="31" t="s">
        <s:v>136</s:v>
      </s:c>
      <s:c r="D89" s="32">
        <s:v>590</s:v>
      </s:c>
      <s:c r="E89" s="26"/>
      <s:c r="F89" s="29">
        <s:f t="shared" si="3"/>
        <s:v>0</s:v>
      </s:c>
    </s:row>
    <s:row r="90" spans="1:6" ns3:dyDescent="0.3">
      <s:c r="A90" s="30">
        <s:v>35211</s:v>
      </s:c>
      <s:c r="B90" s="31" t="s">
        <s:v>137</s:v>
      </s:c>
      <s:c r="C90" s="31" t="s">
        <s:v>86</s:v>
      </s:c>
      <s:c r="D90" s="32">
        <s:v>760</s:v>
      </s:c>
      <s:c r="E90" s="26"/>
      <s:c r="F90" s="29">
        <s:f t="shared" si="3"/>
        <s:v>0</s:v>
      </s:c>
    </s:row>
    <s:row r="91" spans="1:6" ns3:dyDescent="0.3">
      <s:c r="A91" s="30">
        <s:v>35212</s:v>
      </s:c>
      <s:c r="B91" s="31" t="s">
        <s:v>138</s:v>
      </s:c>
      <s:c r="C91" s="31" t="s">
        <s:v>86</s:v>
      </s:c>
      <s:c r="D91" s="32">
        <s:v>760</s:v>
      </s:c>
      <s:c r="E91" s="26"/>
      <s:c r="F91" s="29">
        <s:f t="shared" si="3"/>
        <s:v>760.0</s:v>
      </s:c>
    </s:row>
    <s:row r="92" spans="1:6" ns3:dyDescent="0.3">
      <s:c r="A92" s="30">
        <s:v>35213</s:v>
      </s:c>
      <s:c r="B92" s="31" t="s">
        <s:v>139</s:v>
      </s:c>
      <s:c r="C92" s="31" t="s">
        <s:v>86</s:v>
      </s:c>
      <s:c r="D92" s="32">
        <s:v>760</s:v>
      </s:c>
      <s:c r="E92" s="26"/>
      <s:c r="F92" s="29">
        <s:f t="shared" si="3"/>
        <s:v>0</s:v>
      </s:c>
    </s:row>
    <s:row r="93" spans="1:6" ns3:dyDescent="0.3">
      <s:c r="A93" s="30">
        <s:v>35214</s:v>
      </s:c>
      <s:c r="B93" s="31" t="s">
        <s:v>140</s:v>
      </s:c>
      <s:c r="C93" s="31" t="s">
        <s:v>86</s:v>
      </s:c>
      <s:c r="D93" s="32">
        <s:v>520</s:v>
      </s:c>
      <s:c r="E93" s="26"/>
      <s:c r="F93" s="29">
        <s:f t="shared" si="3"/>
        <s:v>0</s:v>
      </s:c>
    </s:row>
    <s:row r="94" spans="1:6" ns3:dyDescent="0.3">
      <s:c r="A94" s="30">
        <s:v>35215</s:v>
      </s:c>
      <s:c r="B94" s="31" t="s">
        <s:v>141</s:v>
      </s:c>
      <s:c r="C94" s="31" t="s">
        <s:v>86</s:v>
      </s:c>
      <s:c r="D94" s="32">
        <s:v>520</s:v>
      </s:c>
      <s:c r="E94" s="26"/>
      <s:c r="F94" s="29">
        <s:f t="shared" si="3"/>
        <s:v>0</s:v>
      </s:c>
    </s:row>
    <s:row r="95" spans="1:6" ns3:dyDescent="0.3">
      <s:c r="A95" s="30">
        <s:v>35217</s:v>
      </s:c>
      <s:c r="B95" s="31" t="s">
        <s:v>142</s:v>
      </s:c>
      <s:c r="C95" s="31" t="s">
        <s:v>143</s:v>
      </s:c>
      <s:c r="D95" s="32">
        <s:v>1390</s:v>
      </s:c>
      <s:c r="E95" s="26"/>
      <s:c r="F95" s="29">
        <s:f t="shared" si="3"/>
        <s:v>0</s:v>
      </s:c>
    </s:row>
    <s:row r="96" spans="1:6" ns3:dyDescent="0.3">
      <s:c r="A96" s="30">
        <s:v>35218</s:v>
      </s:c>
      <s:c r="B96" s="31" t="s">
        <s:v>144</s:v>
      </s:c>
      <s:c r="C96" s="31" t="s">
        <s:v>32</s:v>
      </s:c>
      <s:c r="D96" s="32">
        <s:v>760</s:v>
      </s:c>
      <s:c r="E96" s="26"/>
      <s:c r="F96" s="29">
        <s:f t="shared" si="3"/>
        <s:v>0</s:v>
      </s:c>
    </s:row>
    <s:row r="97" spans="1:6" ns3:dyDescent="0.3">
      <s:c r="A97" s="30">
        <s:v>35219</s:v>
      </s:c>
      <s:c r="B97" s="31" t="s">
        <s:v>145</s:v>
      </s:c>
      <s:c r="C97" s="31" t="s">
        <s:v>32</s:v>
      </s:c>
      <s:c r="D97" s="32">
        <s:v>760</s:v>
      </s:c>
      <s:c r="E97" s="26"/>
      <s:c r="F97" s="29">
        <s:f t="shared" si="3"/>
        <s:v>0</s:v>
      </s:c>
    </s:row>
    <s:row r="98" spans="1:6" ns3:dyDescent="0.3">
      <s:c r="A98" s="30">
        <s:v>35220</s:v>
      </s:c>
      <s:c r="B98" s="31" t="s">
        <s:v>146</s:v>
      </s:c>
      <s:c r="C98" s="31" t="s">
        <s:v>32</s:v>
      </s:c>
      <s:c r="D98" s="32">
        <s:v>760</s:v>
      </s:c>
      <s:c r="E98" s="26"/>
      <s:c r="F98" s="29">
        <s:f t="shared" si="3"/>
        <s:v>0</s:v>
      </s:c>
    </s:row>
    <s:row r="99" spans="1:6" ns3:dyDescent="0.3">
      <s:c r="A99" s="30">
        <s:v>35221</s:v>
      </s:c>
      <s:c r="B99" s="31" t="s">
        <s:v>147</s:v>
      </s:c>
      <s:c r="C99" s="31" t="s">
        <s:v>32</s:v>
      </s:c>
      <s:c r="D99" s="32">
        <s:v>760</s:v>
      </s:c>
      <s:c r="E99" s="26"/>
      <s:c r="F99" s="29">
        <s:f t="shared" si="3"/>
        <s:v>0</s:v>
      </s:c>
    </s:row>
    <s:row r="100" spans="1:6" ns3:dyDescent="0.3">
      <s:c r="A100" s="30">
        <s:v>35222</s:v>
      </s:c>
      <s:c r="B100" s="31" t="s">
        <s:v>148</s:v>
      </s:c>
      <s:c r="C100" s="31" t="s">
        <s:v>32</s:v>
      </s:c>
      <s:c r="D100" s="32">
        <s:v>760</s:v>
      </s:c>
      <s:c r="E100" s="26"/>
      <s:c r="F100" s="29">
        <s:f t="shared" si="3"/>
        <s:v>0</s:v>
      </s:c>
    </s:row>
    <s:row r="101" spans="1:6" ns3:dyDescent="0.3">
      <s:c r="A101" s="30">
        <s:v>35223</s:v>
      </s:c>
      <s:c r="B101" s="31" t="s">
        <s:v>149</s:v>
      </s:c>
      <s:c r="C101" s="31" t="s">
        <s:v>32</s:v>
      </s:c>
      <s:c r="D101" s="32">
        <s:v>760</s:v>
      </s:c>
      <s:c r="E101" s="26"/>
      <s:c r="F101" s="29">
        <s:f t="shared" si="3"/>
        <s:v>0</s:v>
      </s:c>
    </s:row>
    <s:row r="102" spans="1:6" ns3:dyDescent="0.3">
      <s:c r="A102" s="30">
        <s:v>35224</s:v>
      </s:c>
      <s:c r="B102" s="31" t="s">
        <s:v>150</s:v>
      </s:c>
      <s:c r="C102" s="31" t="s">
        <s:v>32</s:v>
      </s:c>
      <s:c r="D102" s="32">
        <s:v>760</s:v>
      </s:c>
      <s:c r="E102" s="26"/>
      <s:c r="F102" s="29">
        <s:f t="shared" si="3"/>
        <s:v>0</s:v>
      </s:c>
    </s:row>
    <s:row r="103" spans="1:6" ns3:dyDescent="0.3">
      <s:c r="A103" s="30">
        <s:v>35225</s:v>
      </s:c>
      <s:c r="B103" s="31" t="s">
        <s:v>151</s:v>
      </s:c>
      <s:c r="C103" s="31" t="s">
        <s:v>32</s:v>
      </s:c>
      <s:c r="D103" s="32">
        <s:v>760</s:v>
      </s:c>
      <s:c r="E103" s="26"/>
      <s:c r="F103" s="29">
        <s:f t="shared" si="3"/>
        <s:v>0</s:v>
      </s:c>
    </s:row>
    <s:row r="104" spans="1:6" ns3:dyDescent="0.3">
      <s:c r="A104" s="30">
        <s:v>35226</s:v>
      </s:c>
      <s:c r="B104" s="31" t="s">
        <s:v>152</s:v>
      </s:c>
      <s:c r="C104" s="31" t="s">
        <s:v>32</s:v>
      </s:c>
      <s:c r="D104" s="32">
        <s:v>760</s:v>
      </s:c>
      <s:c r="E104" s="26"/>
      <s:c r="F104" s="29">
        <s:f t="shared" si="3"/>
        <s:v>0</s:v>
      </s:c>
    </s:row>
    <s:row r="105" spans="1:6" ns3:dyDescent="0.3">
      <s:c r="A105" s="30">
        <s:v>35227</s:v>
      </s:c>
      <s:c r="B105" s="31" t="s">
        <s:v>153</s:v>
      </s:c>
      <s:c r="C105" s="31" t="s">
        <s:v>32</s:v>
      </s:c>
      <s:c r="D105" s="32">
        <s:v>760</s:v>
      </s:c>
      <s:c r="E105" s="26"/>
      <s:c r="F105" s="29">
        <s:f t="shared" si="3"/>
        <s:v>0</s:v>
      </s:c>
    </s:row>
    <s:row r="106" spans="1:6" ns3:dyDescent="0.3">
      <s:c r="A106" s="30">
        <s:v>35228</s:v>
      </s:c>
      <s:c r="B106" s="31" t="s">
        <s:v>154</s:v>
      </s:c>
      <s:c r="C106" s="31" t="s">
        <s:v>32</s:v>
      </s:c>
      <s:c r="D106" s="32">
        <s:v>760</s:v>
      </s:c>
      <s:c r="E106" s="26"/>
      <s:c r="F106" s="29">
        <s:f t="shared" si="3"/>
        <s:v>0</s:v>
      </s:c>
    </s:row>
    <s:row r="107" spans="1:6" ns3:dyDescent="0.3">
      <s:c r="A107" s="30">
        <s:v>35229</s:v>
      </s:c>
      <s:c r="B107" s="31" t="s">
        <s:v>155</s:v>
      </s:c>
      <s:c r="C107" s="31" t="s">
        <s:v>32</s:v>
      </s:c>
      <s:c r="D107" s="32">
        <s:v>760</s:v>
      </s:c>
      <s:c r="E107" s="26"/>
      <s:c r="F107" s="29">
        <s:f t="shared" si="3"/>
        <s:v>0</s:v>
      </s:c>
    </s:row>
    <s:row r="108" spans="1:6" ns3:dyDescent="0.3">
      <s:c r="A108" s="30">
        <s:v>35234</s:v>
      </s:c>
      <s:c r="B108" s="31" t="s">
        <s:v>156</s:v>
      </s:c>
      <s:c r="C108" s="31" t="s">
        <s:v>157</s:v>
      </s:c>
      <s:c r="D108" s="32">
        <s:v>1100</s:v>
      </s:c>
      <s:c r="E108" s="26"/>
      <s:c r="F108" s="29">
        <s:f t="shared" si="3"/>
        <s:v>0</s:v>
      </s:c>
    </s:row>
    <s:row r="109" spans="1:6" ns3:dyDescent="0.3">
      <s:c r="A109" s="30">
        <s:v>35235</s:v>
      </s:c>
      <s:c r="B109" s="31" t="s">
        <s:v>158</s:v>
      </s:c>
      <s:c r="C109" s="31" t="s">
        <s:v>157</s:v>
      </s:c>
      <s:c r="D109" s="32">
        <s:v>520</s:v>
      </s:c>
      <s:c r="E109" s="26"/>
      <s:c r="F109" s="29">
        <s:f t="shared" si="3"/>
        <s:v>0</s:v>
      </s:c>
    </s:row>
    <s:row r="110" spans="1:6" ns3:dyDescent="0.3">
      <s:c r="A110" s="30">
        <s:v>35236</s:v>
      </s:c>
      <s:c r="B110" s="43" t="s">
        <s:v>159</s:v>
      </s:c>
      <s:c r="C110" s="31" t="s">
        <s:v>143</s:v>
      </s:c>
      <s:c r="D110" s="32">
        <s:v>1590</s:v>
      </s:c>
      <s:c r="E110" s="26"/>
      <s:c r="F110" s="29">
        <s:v>0</s:v>
      </s:c>
    </s:row>
    <s:row r="111" spans="1:6" ns3:dyDescent="0.3">
      <s:c r="A111" s="30">
        <s:v>35237</s:v>
      </s:c>
      <s:c r="B111" s="31" t="s">
        <s:v>160</s:v>
      </s:c>
      <s:c r="C111" s="31" t="s">
        <s:v>125</s:v>
      </s:c>
      <s:c r="D111" s="32">
        <s:v>990</s:v>
      </s:c>
      <s:c r="E111" s="26"/>
      <s:c r="F111" s="29">
        <s:f t="shared" ref="F111:F120" si="4">D111*E111</s:f>
        <s:v>0</s:v>
      </s:c>
    </s:row>
    <s:row r="112" spans="1:6" ns3:dyDescent="0.3">
      <s:c r="A112" s="30">
        <s:v>35238</s:v>
      </s:c>
      <s:c r="B112" s="31" t="s">
        <s:v>161</s:v>
      </s:c>
      <s:c r="C112" s="31" t="s">
        <s:v>162</s:v>
      </s:c>
      <s:c r="D112" s="32">
        <s:v>990</s:v>
      </s:c>
      <s:c r="E112" s="26"/>
      <s:c r="F112" s="29">
        <s:f t="shared" si="4"/>
        <s:v>0</s:v>
      </s:c>
    </s:row>
    <s:row r="113" spans="1:6" ns3:dyDescent="0.3">
      <s:c r="A113" s="30">
        <s:v>35239</s:v>
      </s:c>
      <s:c r="B113" s="31" t="s">
        <s:v>163</s:v>
      </s:c>
      <s:c r="C113" s="31" t="s">
        <s:v>162</s:v>
      </s:c>
      <s:c r="D113" s="32">
        <s:v>590</s:v>
      </s:c>
      <s:c r="E113" s="26"/>
      <s:c r="F113" s="29">
        <s:f t="shared" si="4"/>
        <s:v>0</s:v>
      </s:c>
    </s:row>
    <s:row r="114" spans="1:6" ns3:dyDescent="0.3">
      <s:c r="A114" s="30">
        <s:v>35240</s:v>
      </s:c>
      <s:c r="B114" s="31" t="s">
        <s:v>164</s:v>
      </s:c>
      <s:c r="C114" s="31" t="s">
        <s:v>162</s:v>
      </s:c>
      <s:c r="D114" s="32">
        <s:v>590</s:v>
      </s:c>
      <s:c r="E114" s="26"/>
      <s:c r="F114" s="29">
        <s:f t="shared" si="4"/>
        <s:v>0</s:v>
      </s:c>
    </s:row>
    <s:row r="115" spans="1:6" ns3:dyDescent="0.3">
      <s:c r="A115" s="44">
        <s:v>35241</s:v>
      </s:c>
      <s:c r="B115" s="45" t="s">
        <s:v>165</s:v>
      </s:c>
      <s:c r="C115" s="46" t="s">
        <s:v>162</s:v>
      </s:c>
      <s:c r="D115" s="47">
        <s:v>990</s:v>
      </s:c>
      <s:c r="E115" s="30"/>
      <s:c r="F115" s="29">
        <s:f t="shared" si="4"/>
        <s:v>1980.0</s:v>
      </s:c>
    </s:row>
    <s:row r="116" spans="1:6" ns3:dyDescent="0.3">
      <s:c r="A116" s="48">
        <s:v>35242</s:v>
      </s:c>
      <s:c r="B116" s="49" t="s">
        <s:v>166</s:v>
      </s:c>
      <s:c r="C116" s="49" t="s">
        <s:v>167</s:v>
      </s:c>
      <s:c r="D116" s="50">
        <s:v>570</s:v>
      </s:c>
      <s:c r="E116" s="26"/>
      <s:c r="F116" s="29">
        <s:f t="shared" si="4"/>
        <s:v>0</s:v>
      </s:c>
    </s:row>
    <s:row r="117" spans="1:6" ns3:dyDescent="0.3">
      <s:c r="A117" s="48">
        <s:v>35243</s:v>
      </s:c>
      <s:c r="B117" s="49" t="s">
        <s:v>168</s:v>
      </s:c>
      <s:c r="C117" s="49" t="s">
        <s:v>157</s:v>
      </s:c>
      <s:c r="D117" s="50">
        <s:v>1100</s:v>
      </s:c>
      <s:c r="E117" s="26"/>
      <s:c r="F117" s="29">
        <s:f t="shared" si="4"/>
        <s:v>0</s:v>
      </s:c>
    </s:row>
    <s:row r="118" spans="1:6" ns3:dyDescent="0.3">
      <s:c r="A118" s="48">
        <s:v>35244</s:v>
      </s:c>
      <s:c r="B118" s="49" t="s">
        <s:v>169</s:v>
      </s:c>
      <s:c r="C118" s="49" t="s">
        <s:v>32</s:v>
      </s:c>
      <s:c r="D118" s="50">
        <s:v>590</s:v>
      </s:c>
      <s:c r="E118" s="26"/>
      <s:c r="F118" s="29">
        <s:f t="shared" si="4"/>
        <s:v>0</s:v>
      </s:c>
    </s:row>
    <s:row r="119" spans="1:6" ns3:dyDescent="0.3">
      <s:c r="A119" s="48">
        <s:v>35245</s:v>
      </s:c>
      <s:c r="B119" s="49" t="s">
        <s:v>170</s:v>
      </s:c>
      <s:c r="C119" s="49" t="s">
        <s:v>171</s:v>
      </s:c>
      <s:c r="D119" s="50">
        <s:v>1580</s:v>
      </s:c>
      <s:c r="E119" s="26"/>
      <s:c r="F119" s="29">
        <s:f t="shared" si="4"/>
        <s:v>0</s:v>
      </s:c>
    </s:row>
    <s:row r="120" spans="1:6" ns3:dyDescent="0.3">
      <s:c r="A120" s="48">
        <s:v>35246</s:v>
      </s:c>
      <s:c r="B120" s="49" t="s">
        <s:v>172</s:v>
      </s:c>
      <s:c r="C120" s="49" t="s">
        <s:v>171</s:v>
      </s:c>
      <s:c r="D120" s="50">
        <s:v>1980</s:v>
      </s:c>
      <s:c r="E120" s="26"/>
      <s:c r="F120" s="29">
        <s:f t="shared" si="4"/>
        <s:v>0</s:v>
      </s:c>
    </s:row>
    <s:row r="121" spans="1:6" ns3:dyDescent="0.3">
      <s:c r="A121" s="30">
        <s:v>35247</s:v>
      </s:c>
      <s:c r="B121" s="31" t="s">
        <s:v>173</s:v>
      </s:c>
      <s:c r="C121" s="31" t="s">
        <s:v>174</s:v>
      </s:c>
      <s:c r="D121" s="32">
        <s:v>1290</s:v>
      </s:c>
      <s:c r="E121" s="26"/>
      <s:c r="F121" s="29">
        <s:v>0</s:v>
      </s:c>
    </s:row>
    <s:row r="122" spans="1:6" ns3:dyDescent="0.3">
      <s:c r="A122" s="48">
        <s:v>35250</s:v>
      </s:c>
      <s:c r="B122" s="31" t="s">
        <s:v>175</s:v>
      </s:c>
      <s:c r="C122" s="49" t="s">
        <s:v>176</s:v>
      </s:c>
      <s:c r="D122" s="50">
        <s:v>1290</s:v>
      </s:c>
      <s:c r="E122" s="26"/>
      <s:c r="F122" s="29">
        <s:v>0</s:v>
      </s:c>
    </s:row>
    <s:row r="123" spans="1:6" ns3:dyDescent="0.3">
      <s:c r="A123" s="48">
        <s:v>35251</s:v>
      </s:c>
      <s:c r="B123" s="49" t="s">
        <s:v>177</s:v>
      </s:c>
      <s:c r="C123" s="49" t="s">
        <s:v>178</s:v>
      </s:c>
      <s:c r="D123" s="50">
        <s:v>1980</s:v>
      </s:c>
      <s:c r="E123" s="48"/>
      <s:c r="F123" s="29">
        <s:v>0</s:v>
      </s:c>
    </s:row>
    <s:row r="124" spans="1:6" ns3:dyDescent="0.3">
      <s:c r="A124" s="48">
        <s:v>35252</s:v>
      </s:c>
      <s:c r="B124" s="49" t="s">
        <s:v>179</s:v>
      </s:c>
      <s:c r="C124" s="49" t="s">
        <s:v>11</s:v>
      </s:c>
      <s:c r="D124" s="50">
        <s:v>1780</s:v>
      </s:c>
      <s:c r="E124" s="48"/>
      <s:c r="F124" s="29">
        <s:v>0</s:v>
      </s:c>
    </s:row>
    <s:row r="125" spans="1:6" ns3:dyDescent="0.3">
      <s:c r="A125" s="48">
        <s:v>35253</s:v>
      </s:c>
      <s:c r="B125" s="49" t="s">
        <s:v>180</s:v>
      </s:c>
      <s:c r="C125" s="49" t="s">
        <s:v>181</s:v>
      </s:c>
      <s:c r="D125" s="50">
        <s:v>970</s:v>
      </s:c>
      <s:c r="E125" s="48"/>
      <s:c r="F125" s="29">
        <s:v>0</s:v>
      </s:c>
    </s:row>
    <s:row r="126" spans="1:6" ns3:dyDescent="0.3">
      <s:c r="A126" s="48">
        <s:v>35254</s:v>
      </s:c>
      <s:c r="B126" s="49" t="s">
        <s:v>182</s:v>
      </s:c>
      <s:c r="C126" s="49" t="s">
        <s:v>183</s:v>
      </s:c>
      <s:c r="D126" s="50">
        <s:v>790</s:v>
      </s:c>
      <s:c r="E126" s="48"/>
      <s:c r="F126" s="29">
        <s:v>0</s:v>
      </s:c>
    </s:row>
    <s:row r="127" spans="1:6" ns3:dyDescent="0.3">
      <s:c r="A127" s="51">
        <s:v>35255</s:v>
      </s:c>
      <s:c r="B127" s="52" t="s">
        <s:v>184</s:v>
      </s:c>
      <s:c r="C127" s="52" t="s">
        <s:v>123</s:v>
      </s:c>
      <s:c r="D127" s="50">
        <s:v>1890</s:v>
      </s:c>
      <s:c r="E127" s="53"/>
      <s:c r="F127" s="54">
        <s:v>0</s:v>
      </s:c>
    </s:row>
    <s:row r="128" spans="1:6" ns3:dyDescent="0.3">
      <s:c r="A128" s="51">
        <s:v>35256</s:v>
      </s:c>
      <s:c r="B128" s="52" t="s">
        <s:v>185</s:v>
      </s:c>
      <s:c r="C128" s="52" t="s">
        <s:v>186</s:v>
      </s:c>
      <s:c r="D128" s="55">
        <s:v>590</s:v>
      </s:c>
      <s:c r="E128" s="56"/>
      <s:c r="F128" s="54">
        <s:v>590.0</s:v>
      </s:c>
    </s:row>
    <s:row r="129" spans="1:6" ns3:dyDescent="0.3">
      <s:c r="A129" s="51">
        <s:v>35257</s:v>
      </s:c>
      <s:c r="B129" s="49" t="s">
        <s:v>187</s:v>
      </s:c>
      <s:c r="C129" s="52" t="s">
        <s:v>188</s:v>
      </s:c>
      <s:c r="D129" s="55">
        <s:v>590</s:v>
      </s:c>
      <s:c r="E129" s="56"/>
      <s:c r="F129" s="54">
        <s:v>0</s:v>
      </s:c>
    </s:row>
    <s:row r="130" spans="1:6" ns3:dyDescent="0.3">
      <s:c r="A130" s="51">
        <s:v>35258</s:v>
      </s:c>
      <s:c r="B130" s="31" t="s">
        <s:v>189</s:v>
      </s:c>
      <s:c r="C130" s="31" t="s">
        <s:v>162</s:v>
      </s:c>
      <s:c r="D130" s="50">
        <s:v>990</s:v>
      </s:c>
      <s:c r="E130" s="53"/>
      <s:c r="F130" s="54">
        <s:v>0</s:v>
      </s:c>
    </s:row>
    <s:row r="131" spans="1:6" ns3:dyDescent="0.3">
      <s:c r="A131" s="48">
        <s:v>35259</s:v>
      </s:c>
      <s:c r="B131" s="49" t="s">
        <s:v>190</s:v>
      </s:c>
      <s:c r="C131" s="57" t="s">
        <s:v>171</s:v>
      </s:c>
      <s:c r="D131" s="58">
        <s:v>590</s:v>
      </s:c>
      <s:c r="E131" s="53"/>
      <s:c r="F131" s="59">
        <s:v>0</s:v>
      </s:c>
    </s:row>
    <s:row r="132" spans="1:6" ns3:dyDescent="0.3">
      <s:c r="A132" s="60">
        <s:v>35260</s:v>
      </s:c>
      <s:c r="B132" s="61" t="s">
        <s:v>191</s:v>
      </s:c>
      <s:c r="C132" s="57" t="s">
        <s:v>171</s:v>
      </s:c>
      <s:c r="D132" s="62">
        <s:v>490</s:v>
      </s:c>
      <s:c r="E132" s="53"/>
      <s:c r="F132" s="59">
        <s:v>0</s:v>
      </s:c>
    </s:row>
    <s:row r="133" spans="1:6" ns3:dyDescent="0.3">
      <s:c r="A133" s="60">
        <s:v>35261</s:v>
      </s:c>
      <s:c r="B133" s="63" t="s">
        <s:v>192</s:v>
      </s:c>
      <s:c r="C133" s="57" t="s">
        <s:v>171</s:v>
      </s:c>
      <s:c r="D133" s="62">
        <s:v>490</s:v>
      </s:c>
      <s:c r="E133" s="53"/>
      <s:c r="F133" s="59">
        <s:v>0</s:v>
      </s:c>
    </s:row>
    <s:row r="134" spans="1:6" ns3:dyDescent="0.3">
      <s:c r="A134" s="60">
        <s:v>35262</s:v>
      </s:c>
      <s:c r="B134" s="64" t="s">
        <s:v>193</s:v>
      </s:c>
      <s:c r="C134" s="57" t="s">
        <s:v>171</s:v>
      </s:c>
      <s:c r="D134" s="62">
        <s:v>790</s:v>
      </s:c>
      <s:c r="E134" s="53"/>
      <s:c r="F134" s="59">
        <s:v>0</s:v>
      </s:c>
    </s:row>
    <s:row r="135" spans="1:6" ns3:dyDescent="0.3">
      <s:c r="A135" s="60">
        <s:v>35263</s:v>
      </s:c>
      <s:c r="B135" s="64" t="s">
        <s:v>194</s:v>
      </s:c>
      <s:c r="C135" s="57" t="s">
        <s:v>171</s:v>
      </s:c>
      <s:c r="D135" s="62">
        <s:v>590</s:v>
      </s:c>
      <s:c r="E135" s="53"/>
      <s:c r="F135" s="59">
        <s:v>0</s:v>
      </s:c>
    </s:row>
    <s:row r="136" spans="1:6" ns3:dyDescent="0.3">
      <s:c r="A136" s="48">
        <s:v>35264</s:v>
      </s:c>
      <s:c r="B136" s="31" t="s">
        <s:v>195</s:v>
      </s:c>
      <s:c r="C136" s="49" t="s">
        <s:v>157</s:v>
      </s:c>
      <s:c r="D136" s="58">
        <s:v>590</s:v>
      </s:c>
      <s:c r="E136" s="53"/>
      <s:c r="F136" s="59">
        <s:v>0</s:v>
      </s:c>
    </s:row>
    <s:row r="137" spans="1:6" ns3:dyDescent="0.3">
      <s:c r="A137" s="51">
        <s:v>35265</s:v>
      </s:c>
      <s:c r="B137" s="52" t="s">
        <s:v>196</s:v>
      </s:c>
      <s:c r="C137" s="49" t="s">
        <s:v>162</s:v>
      </s:c>
      <s:c r="D137" s="55">
        <s:v>790</s:v>
      </s:c>
      <s:c r="E137" s="53"/>
      <s:c r="F137" s="59">
        <s:v>790.0</s:v>
      </s:c>
    </s:row>
    <s:row r="138" spans="1:6" ns3:dyDescent="0.3">
      <s:c r="A138" s="51">
        <s:v>35266</s:v>
      </s:c>
      <s:c r="B138" s="52" t="s">
        <s:v>197</s:v>
      </s:c>
      <s:c r="C138" s="65" t="s">
        <s:v>198</s:v>
      </s:c>
      <s:c r="D138" s="55">
        <s:v>790</s:v>
      </s:c>
      <s:c r="E138" s="53"/>
      <s:c r="F138" s="59">
        <s:v>0</s:v>
      </s:c>
    </s:row>
    <s:row r="139" spans="1:6" ns3:dyDescent="0.3">
      <s:c r="A139" s="51">
        <s:v>35267</s:v>
      </s:c>
      <s:c r="B139" s="52" t="s">
        <s:v>199</s:v>
      </s:c>
      <s:c r="C139" s="49" t="s">
        <s:v>178</s:v>
      </s:c>
      <s:c r="D139" s="55">
        <s:v>790</s:v>
      </s:c>
      <s:c r="E139" s="53"/>
      <s:c r="F139" s="59">
        <s:v>0</s:v>
      </s:c>
    </s:row>
    <s:row r="140" spans="1:6" ns3:dyDescent="0.3">
      <s:c r="A140" s="51">
        <s:v>35268</s:v>
      </s:c>
      <s:c r="B140" s="52" t="s">
        <s:v>200</s:v>
      </s:c>
      <s:c r="C140" s="49" t="s">
        <s:v>157</s:v>
      </s:c>
      <s:c r="D140" s="55">
        <s:v>790</s:v>
      </s:c>
      <s:c r="E140" s="53"/>
      <s:c r="F140" s="59">
        <s:v>0</s:v>
      </s:c>
    </s:row>
    <s:row r="141" spans="1:6" ns3:dyDescent="0.3">
      <s:c r="A141" s="48">
        <s:v>35269</s:v>
      </s:c>
      <s:c r="B141" s="63" t="s">
        <s:v>201</s:v>
      </s:c>
      <s:c r="C141" s="66" t="s">
        <s:v>171</s:v>
      </s:c>
      <s:c r="D141" s="32">
        <s:v>490</s:v>
      </s:c>
      <s:c r="E141" s="67"/>
      <s:c r="F141" s="68">
        <s:v>0</s:v>
      </s:c>
    </s:row>
    <s:row r="142" spans="1:6" ns3:dyDescent="0.3">
      <s:c r="A142" s="48">
        <s:v>35270</s:v>
      </s:c>
      <s:c r="B142" s="63" t="s">
        <s:v>202</s:v>
      </s:c>
      <s:c r="C142" s="66" t="s">
        <s:v>171</s:v>
      </s:c>
      <s:c r="D142" s="32">
        <s:v>490</s:v>
      </s:c>
      <s:c r="E142" s="67"/>
      <s:c r="F142" s="68">
        <s:v>0</s:v>
      </s:c>
    </s:row>
    <s:row r="143" spans="1:6" ns3:dyDescent="0.3">
      <s:c r="A143" s="48">
        <s:v>35271</s:v>
      </s:c>
      <s:c r="B143" s="69" t="s">
        <s:v>203</s:v>
      </s:c>
      <s:c r="C143" s="49" t="s">
        <s:v>162</s:v>
      </s:c>
      <s:c r="D143" s="70">
        <s:v>590</s:v>
      </s:c>
      <s:c r="E143" s="71"/>
      <s:c r="F143" s="68">
        <s:v>0</s:v>
      </s:c>
    </s:row>
    <s:row r="144" spans="1:6" ns3:dyDescent="0.3">
      <s:c r="A144" s="48">
        <s:v>35272</s:v>
      </s:c>
      <s:c r="B144" s="49" t="s">
        <s:v>204</s:v>
      </s:c>
      <s:c r="C144" s="49" t="s">
        <s:v>157</s:v>
      </s:c>
      <s:c r="D144" s="58">
        <s:v>2290</s:v>
      </s:c>
      <s:c r="E144" s="71"/>
      <s:c r="F144" s="62">
        <s:v>0</s:v>
      </s:c>
    </s:row>
    <s:row r="145" spans="1:6" ns3:dyDescent="0.3">
      <s:c r="A145" s="48">
        <s:v>35273</s:v>
      </s:c>
      <s:c r="B145" s="49" t="s">
        <s:v>205</s:v>
      </s:c>
      <s:c r="C145" s="49" t="s">
        <s:v>206</s:v>
      </s:c>
      <s:c r="D145" s="58">
        <s:v>490</s:v>
      </s:c>
      <s:c r="E145" s="71"/>
      <s:c r="F145" s="62">
        <s:v>0</s:v>
      </s:c>
    </s:row>
    <s:row r="146" spans="1:6" ns3:dyDescent="0.3">
      <s:c r="A146" s="48">
        <s:v>35274</s:v>
      </s:c>
      <s:c r="B146" s="49" t="s">
        <s:v>207</s:v>
      </s:c>
      <s:c r="C146" s="49" t="s">
        <s:v>206</s:v>
      </s:c>
      <s:c r="D146" s="58">
        <s:v>490</s:v>
      </s:c>
      <s:c r="E146" s="71"/>
      <s:c r="F146" s="62">
        <s:v>0</s:v>
      </s:c>
    </s:row>
    <s:row r="147" spans="1:6" ns3:dyDescent="0.3">
      <s:c r="A147" s="48">
        <s:v>35275</s:v>
      </s:c>
      <s:c r="B147" s="49" t="s">
        <s:v>208</s:v>
      </s:c>
      <s:c r="C147" s="49" t="s">
        <s:v>206</s:v>
      </s:c>
      <s:c r="D147" s="58">
        <s:v>490</s:v>
      </s:c>
      <s:c r="E147" s="71"/>
      <s:c r="F147" s="62">
        <s:v>0</s:v>
      </s:c>
    </s:row>
    <s:row r="148" spans="1:6" ns3:dyDescent="0.3">
      <s:c r="A148" s="48">
        <s:v>35276</s:v>
      </s:c>
      <s:c r="B148" s="49" t="s">
        <s:v>209</s:v>
      </s:c>
      <s:c r="C148" s="49" t="s">
        <s:v>206</s:v>
      </s:c>
      <s:c r="D148" s="58">
        <s:v>490</s:v>
      </s:c>
      <s:c r="E148" s="71"/>
      <s:c r="F148" s="62">
        <s:v>0</s:v>
      </s:c>
    </s:row>
    <s:row r="149" spans="1:6" ns3:dyDescent="0.3">
      <s:c r="A149" s="48">
        <s:v>35277</s:v>
      </s:c>
      <s:c r="B149" s="49" t="s">
        <s:v>210</s:v>
      </s:c>
      <s:c r="C149" s="49" t="s">
        <s:v>206</s:v>
      </s:c>
      <s:c r="D149" s="58">
        <s:v>490</s:v>
      </s:c>
      <s:c r="E149" s="71"/>
      <s:c r="F149" s="62">
        <s:v>0</s:v>
      </s:c>
    </s:row>
    <s:row r="150" spans="1:6" ns3:dyDescent="0.3">
      <s:c r="A150" s="48">
        <s:v>35278</s:v>
      </s:c>
      <s:c r="B150" s="49" t="s">
        <s:v>211</s:v>
      </s:c>
      <s:c r="C150" s="49" t="s">
        <s:v>212</s:v>
      </s:c>
      <s:c r="D150" s="50">
        <s:v>1100</s:v>
      </s:c>
      <s:c r="E150" s="71"/>
      <s:c r="F150" s="62">
        <s:v>0</s:v>
      </s:c>
    </s:row>
    <s:row r="151" spans="1:6" ns3:dyDescent="0.3">
      <s:c r="A151" s="48">
        <s:v>35279</s:v>
      </s:c>
      <s:c r="B151" s="52" t="s">
        <s:v>213</s:v>
      </s:c>
      <s:c r="C151" s="49" t="s">
        <s:v>162</s:v>
      </s:c>
      <s:c r="D151" s="50">
        <s:v>1980</s:v>
      </s:c>
      <s:c r="E151" s="71"/>
      <s:c r="F151" s="62">
        <s:v>0</s:v>
      </s:c>
    </s:row>
    <s:row r="152" spans="1:6" s="74" customFormat="1" ht="13.8" ns3:dyDescent="0.25">
      <s:c r="A152" s="48">
        <s:v>35280</s:v>
      </s:c>
      <s:c r="B152" s="72" t="s">
        <s:v>214</s:v>
      </s:c>
      <s:c r="C152" s="49" t="s">
        <s:v>171</s:v>
      </s:c>
      <s:c r="D152" s="50">
        <s:v>790</s:v>
      </s:c>
      <s:c r="E152" s="71"/>
      <s:c r="F152" s="73">
        <s:v>0</s:v>
      </s:c>
    </s:row>
    <s:row r="153" spans="1:6" s="74" customFormat="1" ht="13.8" ns3:dyDescent="0.25">
      <s:c r="A153" s="48">
        <s:v>35281</s:v>
      </s:c>
      <s:c r="B153" s="49" t="s">
        <s:v>215</s:v>
      </s:c>
      <s:c r="C153" s="49" t="s">
        <s:v>143</s:v>
      </s:c>
      <s:c r="D153" s="50">
        <s:v>1790</s:v>
      </s:c>
      <s:c r="E153" s="71"/>
      <s:c r="F153" s="73">
        <s:v>0</s:v>
      </s:c>
    </s:row>
    <s:row r="154" spans="1:6" s="74" customFormat="1" ht="13.8" ns3:dyDescent="0.25">
      <s:c r="A154" s="48">
        <s:v>35282</s:v>
      </s:c>
      <s:c r="B154" s="49" t="s">
        <s:v>215</s:v>
      </s:c>
      <s:c r="C154" s="49" t="s">
        <s:v>157</s:v>
      </s:c>
      <s:c r="D154" s="50">
        <s:v>1590</s:v>
      </s:c>
      <s:c r="E154" s="71"/>
      <s:c r="F154" s="73">
        <s:v>0</s:v>
      </s:c>
    </s:row>
    <s:row r="155" spans="1:6" s="74" customFormat="1" ht="13.8" ns3:dyDescent="0.25">
      <s:c r="A155" s="48">
        <s:v>35283</s:v>
      </s:c>
      <s:c r="B155" s="49" t="s">
        <s:v>216</s:v>
      </s:c>
      <s:c r="C155" s="49" t="s">
        <s:v>171</s:v>
      </s:c>
      <s:c r="D155" s="50">
        <s:v>490</s:v>
      </s:c>
      <s:c r="E155" s="75"/>
      <s:c r="F155" s="73">
        <s:v>0</s:v>
      </s:c>
    </s:row>
    <s:row r="156" spans="1:6" s="74" customFormat="1" ht="13.8" ns3:dyDescent="0.25">
      <s:c r="A156" s="48">
        <s:v>35284</s:v>
      </s:c>
      <s:c r="B156" s="49" t="s">
        <s:v>40</s:v>
      </s:c>
      <s:c r="C156" s="49" t="s">
        <s:v>171</s:v>
      </s:c>
      <s:c r="D156" s="50">
        <s:v>290</s:v>
      </s:c>
      <s:c r="E156" s="75"/>
      <s:c r="F156" s="73">
        <s:v>0</s:v>
      </s:c>
    </s:row>
    <s:row r="157" spans="1:6" s="74" customFormat="1" ht="13.8" ns3:dyDescent="0.25">
      <s:c r="A157" s="48">
        <s:v>35285</s:v>
      </s:c>
      <s:c r="B157" s="49" t="s">
        <s:v>217</s:v>
      </s:c>
      <s:c r="C157" s="49" t="s">
        <s:v>171</s:v>
      </s:c>
      <s:c r="D157" s="50">
        <s:v>290</s:v>
      </s:c>
      <s:c r="E157" s="75"/>
      <s:c r="F157" s="73">
        <s:v>0</s:v>
      </s:c>
    </s:row>
    <s:row r="158" spans="1:6" s="74" customFormat="1" ht="13.8" ns3:dyDescent="0.25">
      <s:c r="A158" s="48">
        <s:v>35286</s:v>
      </s:c>
      <s:c r="B158" s="65" t="s">
        <s:v>218</s:v>
      </s:c>
      <s:c r="C158" s="49" t="s">
        <s:v>171</s:v>
      </s:c>
      <s:c r="D158" s="50">
        <s:v>320</s:v>
      </s:c>
      <s:c r="E158" s="75"/>
      <s:c r="F158" s="73">
        <s:v>0</s:v>
      </s:c>
    </s:row>
    <s:row r="159" spans="1:6" s="74" customFormat="1" ht="13.8" ns3:dyDescent="0.25">
      <s:c r="A159" s="48">
        <s:v>35287</s:v>
      </s:c>
      <s:c r="B159" s="49" t="s">
        <s:v>219</s:v>
      </s:c>
      <s:c r="C159" s="49" t="s">
        <s:v>220</s:v>
      </s:c>
      <s:c r="D159" s="50">
        <s:v>520</s:v>
      </s:c>
      <s:c r="E159" s="75"/>
      <s:c r="F159" s="73">
        <s:v>0</s:v>
      </s:c>
    </s:row>
    <s:row r="160" spans="1:6" s="74" customFormat="1" ht="13.8" ns3:dyDescent="0.25">
      <s:c r="A160" s="76">
        <s:v>35288</s:v>
      </s:c>
      <s:c r="B160" s="77" t="s">
        <s:v>221</s:v>
      </s:c>
      <s:c r="C160" s="78" t="s">
        <s:v>222</s:v>
      </s:c>
      <s:c r="D160" s="79">
        <s:v>590</s:v>
      </s:c>
      <s:c r="E160" s="80" t="s">
        <s:v>223</s:v>
      </s:c>
      <s:c r="F160" s="81">
        <s:v>0</s:v>
      </s:c>
    </s:row>
    <s:row r="161" spans="1:6" s="74" customFormat="1" ht="13.8" ns3:dyDescent="0.25">
      <s:c r="A161" s="76">
        <s:v>35289</s:v>
      </s:c>
      <s:c r="B161" s="77" t="s">
        <s:v>224</s:v>
      </s:c>
      <s:c r="C161" s="78" t="s">
        <s:v>222</s:v>
      </s:c>
      <s:c r="D161" s="79">
        <s:v>990</s:v>
      </s:c>
      <s:c r="E161" s="80" t="s">
        <s:v>5.0</s:v>
      </s:c>
      <s:c r="F161" s="81">
        <s:v>4950.0</s:v>
      </s:c>
    </s:row>
    <s:row r="162" spans="1:6" s="74" customFormat="1" ht="13.8" ns3:dyDescent="0.25">
      <s:c r="A162" s="76">
        <s:v>35290</s:v>
      </s:c>
      <s:c r="B162" s="77" t="s">
        <s:v>225</s:v>
      </s:c>
      <s:c r="C162" s="78" t="s">
        <s:v>222</s:v>
      </s:c>
      <s:c r="D162" s="79">
        <s:v>2390</s:v>
      </s:c>
      <s:c r="E162" s="80" t="s">
        <s:v>8.0</s:v>
      </s:c>
      <s:c r="F162" s="81">
        <s:v>19120.0</s:v>
      </s:c>
    </s:row>
    <s:row r="163" spans="1:6" s="74" customFormat="1" ht="13.8" ns3:dyDescent="0.25">
      <s:c r="A163" s="82"/>
      <s:c r="D163" s="83"/>
      <s:c r="E163" s="82"/>
      <s:c r="F163" s="84"/>
    </s:row>
    <s:row r="164" spans="1:6" s="74" customFormat="1" ht="13.8" ns3:dyDescent="0.25">
      <s:c r="A164" s="82"/>
      <s:c r="D164" s="83"/>
      <s:c r="E164" s="82"/>
      <s:c r="F164" s="84"/>
    </s:row>
    <s:row r="165" spans="1:6" s="74" customFormat="1" ht="13.8" ns3:dyDescent="0.25">
      <s:c r="A165" s="82"/>
      <s:c r="D165" s="83"/>
      <s:c r="E165" s="82"/>
      <s:c r="F165" s="84"/>
    </s:row>
    <s:row r="166" spans="1:6" s="74" customFormat="1" ht="13.8" ns3:dyDescent="0.25">
      <s:c r="A166" s="82"/>
      <s:c r="D166" s="83"/>
      <s:c r="E166" s="82"/>
      <s:c r="F166" s="84"/>
    </s:row>
    <s:row r="167" spans="1:6" s="74" customFormat="1" ht="13.8" ns3:dyDescent="0.25">
      <s:c r="A167" s="82"/>
      <s:c r="D167" s="83"/>
      <s:c r="E167" s="82"/>
      <s:c r="F167" s="84"/>
    </s:row>
    <s:row r="168" spans="1:6" s="74" customFormat="1" ht="13.8" ns3:dyDescent="0.25">
      <s:c r="A168" s="82"/>
      <s:c r="D168" s="83"/>
      <s:c r="E168" s="82"/>
      <s:c r="F168" s="84"/>
    </s:row>
    <s:row r="169" spans="1:6" s="74" customFormat="1" ht="13.8" ns3:dyDescent="0.25">
      <s:c r="A169" s="82"/>
      <s:c r="D169" s="83"/>
      <s:c r="E169" s="82"/>
      <s:c r="F169" s="84"/>
    </s:row>
    <s:row r="170" spans="1:6" s="74" customFormat="1" ht="13.8" ns3:dyDescent="0.25">
      <s:c r="A170" s="82"/>
      <s:c r="D170" s="83"/>
      <s:c r="E170" s="82"/>
      <s:c r="F170" s="84"/>
    </s:row>
    <s:row r="171" spans="1:6" s="74" customFormat="1" ht="13.8" ns3:dyDescent="0.25">
      <s:c r="A171" s="82"/>
      <s:c r="D171" s="83"/>
      <s:c r="E171" s="82"/>
      <s:c r="F171" s="84"/>
    </s:row>
    <s:row r="172" spans="1:6" s="74" customFormat="1" ht="13.8" ns3:dyDescent="0.25">
      <s:c r="A172" s="82"/>
      <s:c r="D172" s="83"/>
      <s:c r="E172" s="82"/>
      <s:c r="F172" s="84"/>
    </s:row>
    <s:row r="173" spans="1:6" s="74" customFormat="1" ht="13.8" ns3:dyDescent="0.25">
      <s:c r="A173" s="82"/>
      <s:c r="D173" s="83"/>
      <s:c r="E173" s="82"/>
      <s:c r="F173" s="84"/>
    </s:row>
    <s:row r="174" spans="1:6" s="74" customFormat="1" ht="13.8" ns3:dyDescent="0.25">
      <s:c r="A174" s="82"/>
      <s:c r="D174" s="83"/>
      <s:c r="E174" s="82"/>
      <s:c r="F174" s="84"/>
    </s:row>
    <s:row r="175" spans="1:6" s="74" customFormat="1" ht="13.8" ns3:dyDescent="0.25">
      <s:c r="A175" s="82"/>
      <s:c r="D175" s="83"/>
      <s:c r="E175" s="82"/>
      <s:c r="F175" s="84"/>
    </s:row>
    <s:row r="176" spans="1:6" s="74" customFormat="1" ht="13.8" ns3:dyDescent="0.25">
      <s:c r="A176" s="82"/>
      <s:c r="D176" s="83"/>
      <s:c r="E176" s="82"/>
      <s:c r="F176" s="84"/>
    </s:row>
    <s:row r="177" spans="1:6" s="74" customFormat="1" ht="13.8" ns3:dyDescent="0.25">
      <s:c r="A177" s="82"/>
      <s:c r="D177" s="83"/>
      <s:c r="E177" s="82"/>
      <s:c r="F177" s="84"/>
    </s:row>
    <s:row r="178" spans="1:6" s="74" customFormat="1" ht="13.8" ns3:dyDescent="0.25">
      <s:c r="A178" s="82"/>
      <s:c r="D178" s="83"/>
      <s:c r="E178" s="82"/>
      <s:c r="F178" s="84"/>
    </s:row>
    <s:row r="179" spans="1:6" s="74" customFormat="1" ht="13.8" ns3:dyDescent="0.25">
      <s:c r="A179" s="82"/>
      <s:c r="D179" s="83"/>
      <s:c r="E179" s="82"/>
      <s:c r="F179" s="84"/>
    </s:row>
    <s:row r="180" spans="1:6" ns3:dyDescent="0.3">
      <s:c r="A180" s="82"/>
      <s:c r="B180" s="74"/>
      <s:c r="C180" s="74"/>
      <s:c r="D180" s="83"/>
      <s:c r="E180" s="82"/>
      <s:c r="F180" s="84"/>
    </s:row>
  </s:sheetData>
  <s:pageMargins left="0.7" right="0.7" top="0.75" bottom="0.75" header="0.511811023622047" footer="0.511811023622047"/>
  <s:pageSetup paperSize="9" orientation="portrait" horizontalDpi="300" verticalDpi="300"/>
</s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9BE-25E0-4076-BBC3-2C01378297D1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3EE-B51D-4725-AAB7-2BB8C78E3582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Ф</cp:lastModifiedBy>
  <cp:revision>117</cp:revision>
  <dcterms:created xsi:type="dcterms:W3CDTF">2022-03-28T11:23:50Z</dcterms:created>
  <dcterms:modified xsi:type="dcterms:W3CDTF">2025-11-06T22:08:35Z</dcterms:modified>
  <dc:language>ru-RU</dc:language>
</cp:coreProperties>
</file>